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20910" windowHeight="8340"/>
  </bookViews>
  <sheets>
    <sheet name="최신 이용자" sheetId="1" r:id="rId1"/>
  </sheets>
  <calcPr calcId="152511"/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3" i="1"/>
  <c r="O4" i="1"/>
  <c r="O5" i="1"/>
  <c r="O6" i="1"/>
  <c r="O7" i="1"/>
  <c r="O8" i="1"/>
  <c r="O9" i="1"/>
  <c r="O3" i="1"/>
</calcChain>
</file>

<file path=xl/sharedStrings.xml><?xml version="1.0" encoding="utf-8"?>
<sst xmlns="http://schemas.openxmlformats.org/spreadsheetml/2006/main" count="263" uniqueCount="54">
  <si>
    <t>이용자수</t>
    <phoneticPr fontId="1" type="noConversion"/>
  </si>
  <si>
    <t>마포구</t>
  </si>
  <si>
    <t>서대문구</t>
  </si>
  <si>
    <t>은평구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</si>
  <si>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</si>
  <si>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</si>
  <si>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</si>
  <si>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</si>
  <si>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</si>
  <si>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</si>
  <si>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</si>
  <si>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</si>
  <si>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</si>
  <si>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</si>
  <si>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</si>
  <si>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</si>
  <si>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</si>
  <si>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</si>
  <si>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</si>
  <si>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</si>
  <si>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</si>
  <si>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</si>
  <si>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</si>
  <si>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종로구</t>
  </si>
  <si>
    <t>중구</t>
  </si>
  <si>
    <t>중랑구</t>
  </si>
  <si>
    <t>실거주</t>
    <phoneticPr fontId="1" type="noConversion"/>
  </si>
  <si>
    <t>지역</t>
    <phoneticPr fontId="1" type="noConversion"/>
  </si>
  <si>
    <t>도서관이용자수</t>
    <phoneticPr fontId="1" type="noConversion"/>
  </si>
  <si>
    <t>총인구-이용자</t>
    <phoneticPr fontId="1" type="noConversion"/>
  </si>
  <si>
    <t>총인구-실거주</t>
    <phoneticPr fontId="1" type="noConversion"/>
  </si>
  <si>
    <t>지역 실거주수</t>
    <phoneticPr fontId="1" type="noConversion"/>
  </si>
  <si>
    <t>대출한이용자</t>
    <phoneticPr fontId="1" type="noConversion"/>
  </si>
  <si>
    <t>실거주대출한이용자</t>
    <phoneticPr fontId="1" type="noConversion"/>
  </si>
  <si>
    <t>남</t>
  </si>
  <si>
    <t>여</t>
  </si>
  <si>
    <t>성별</t>
    <phoneticPr fontId="1" type="noConversion"/>
  </si>
  <si>
    <t>10대미만</t>
    <phoneticPr fontId="1" type="noConversion"/>
  </si>
  <si>
    <t>10대</t>
    <phoneticPr fontId="1" type="noConversion"/>
  </si>
  <si>
    <t>20대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</si>
  <si>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</si>
  <si>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</si>
  <si>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</si>
  <si>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60대이상</t>
    <phoneticPr fontId="1" type="noConversion"/>
  </si>
  <si>
    <t>알수없음</t>
    <phoneticPr fontId="1" type="noConversion"/>
  </si>
  <si>
    <t>총인구수</t>
    <phoneticPr fontId="1" type="noConversion"/>
  </si>
  <si>
    <t>강서구</t>
    <phoneticPr fontId="1" type="noConversion"/>
  </si>
  <si>
    <t>관악구</t>
    <phoneticPr fontId="1" type="noConversion"/>
  </si>
  <si>
    <t>구로구</t>
    <phoneticPr fontId="1" type="noConversion"/>
  </si>
  <si>
    <t>금천구</t>
    <phoneticPr fontId="1" type="noConversion"/>
  </si>
  <si>
    <t>동작구</t>
    <phoneticPr fontId="1" type="noConversion"/>
  </si>
  <si>
    <t>양천구</t>
    <phoneticPr fontId="1" type="noConversion"/>
  </si>
  <si>
    <t>영등포구</t>
    <phoneticPr fontId="1" type="noConversion"/>
  </si>
  <si>
    <t>알수없음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</si>
</sst>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_);[Red]\(0\)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8"/>
  <sheetViews>
    <sheetView tabSelected="1" workbookViewId="0">
      <selection activeCell="M33" sqref="M33"/>
    </sheetView>
  </sheetViews>
  <sheetFormatPr defaultRowHeight="16.5" x14ac:dyDescent="0.3"/>
  <cols>
    <col min="1" max="1" width="3.375" customWidth="1"/>
    <col min="4" max="4" width="2.25" customWidth="1"/>
    <col min="7" max="7" width="2.375" customWidth="1"/>
    <col min="10" max="10" width="2.75" customWidth="1"/>
    <col min="12" max="12" width="9.25" bestFit="1" customWidth="1"/>
    <col min="13" max="13" width="15.125" bestFit="1" customWidth="1"/>
    <col min="14" max="14" width="14" bestFit="1" customWidth="1"/>
    <col min="15" max="16" width="13.875" bestFit="1" customWidth="1"/>
    <col min="17" max="17" width="13.25" bestFit="1" customWidth="1"/>
    <col min="18" max="18" width="19.5" bestFit="1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5" t="s">
        <v>46</v>
      </c>
      <c r="C2" s="15"/>
      <c r="D2" s="1"/>
      <c r="E2" s="15" t="s">
        <v>47</v>
      </c>
      <c r="F2" s="15"/>
      <c r="G2" s="1"/>
      <c r="H2" s="15" t="s">
        <v>48</v>
      </c>
      <c r="I2" s="15"/>
      <c r="K2" s="2" t="s">
        <v>27</v>
      </c>
      <c r="L2" s="2" t="s">
        <v>45</v>
      </c>
      <c r="M2" s="2" t="s">
        <v>28</v>
      </c>
      <c r="N2" s="2" t="s">
        <v>31</v>
      </c>
      <c r="O2" s="2" t="s">
        <v>29</v>
      </c>
      <c r="P2" s="2" t="s">
        <v>30</v>
      </c>
      <c r="Q2" s="2" t="s">
        <v>32</v>
      </c>
      <c r="R2" s="2" t="s">
        <v>33</v>
      </c>
      <c r="S2" s="1"/>
      <c r="T2" s="1"/>
    </row>
    <row r="3" spans="1:20" x14ac:dyDescent="0.3">
      <c r="A3" s="1"/>
      <c r="B3" s="2" t="s">
        <v>26</v>
      </c>
      <c r="C3" s="2" t="s">
        <v>0</v>
      </c>
      <c r="D3" s="1"/>
      <c r="E3" s="2" t="s">
        <v>26</v>
      </c>
      <c r="F3" s="2" t="s">
        <v>0</v>
      </c>
      <c r="G3" s="1"/>
      <c r="H3" s="2" t="s">
        <v>26</v>
      </c>
      <c r="I3" s="2" t="s">
        <v>0</v>
      </c>
      <c r="K3" s="4" t="s">
        <v>7</v>
      </c>
      <c r="L3" s="12">
        <v>563058</v>
      </c>
      <c r="M3" s="5">
        <v>234216</v>
      </c>
      <c r="N3" s="5">
        <v>109314</v>
      </c>
      <c r="O3" s="5" t="str">
        <f>ROUND((M3/L3)*100,2) &amp; "%"</f>
        <v>41.6%</v>
      </c>
      <c r="P3" s="5" t="str">
        <f>ROUND((N3/L3)*100,2) &amp; "%"</f>
        <v>19.41%</v>
      </c>
      <c r="Q3" s="5">
        <v>101966</v>
      </c>
      <c r="R3" s="13">
        <v>63868</v>
      </c>
      <c r="S3" s="1"/>
      <c r="T3" s="1"/>
    </row>
    <row r="4" spans="1:20" x14ac:dyDescent="0.3">
      <c r="A4" s="1"/>
      <c r="B4" s="6" t="s">
        <v>4</v>
      </c>
      <c r="C4" s="5">
        <v>327</v>
      </c>
      <c r="D4" s="1"/>
      <c r="E4" s="6" t="s">
        <v>4</v>
      </c>
      <c r="F4" s="5">
        <v>288</v>
      </c>
      <c r="G4" s="1"/>
      <c r="H4" s="6" t="s">
        <v>4</v>
      </c>
      <c r="I4" s="5">
        <v>170</v>
      </c>
      <c r="K4" s="6" t="s">
        <v>8</v>
      </c>
      <c r="L4" s="12">
        <v>481956</v>
      </c>
      <c r="M4" s="5">
        <v>69033</v>
      </c>
      <c r="N4" s="5">
        <v>40983</v>
      </c>
      <c r="O4" s="5" t="str">
        <f t="shared" ref="O4:O9" si="0">ROUND((M4/L4)*100,2) &amp; "%"</f>
        <v>14.32%</v>
      </c>
      <c r="P4" s="5" t="str">
        <f t="shared" ref="P4:P9" si="1">ROUND((N4/L4)*100,2) &amp; "%"</f>
        <v>8.5%</v>
      </c>
      <c r="Q4" s="5">
        <v>46984</v>
      </c>
      <c r="R4" s="13">
        <v>26110</v>
      </c>
      <c r="S4" s="1"/>
      <c r="T4" s="1"/>
    </row>
    <row r="5" spans="1:20" x14ac:dyDescent="0.3">
      <c r="A5" s="1"/>
      <c r="B5" s="6" t="s">
        <v>5</v>
      </c>
      <c r="C5" s="5">
        <v>190</v>
      </c>
      <c r="D5" s="1"/>
      <c r="E5" s="6" t="s">
        <v>5</v>
      </c>
      <c r="F5" s="5">
        <v>119</v>
      </c>
      <c r="G5" s="1"/>
      <c r="H5" s="6" t="s">
        <v>5</v>
      </c>
      <c r="I5" s="5">
        <v>89</v>
      </c>
      <c r="K5" s="6" t="s">
        <v>10</v>
      </c>
      <c r="L5" s="12">
        <v>392405</v>
      </c>
      <c r="M5" s="5">
        <v>116983</v>
      </c>
      <c r="N5" s="5">
        <v>61774</v>
      </c>
      <c r="O5" s="5" t="str">
        <f t="shared" si="0"/>
        <v>29.81%</v>
      </c>
      <c r="P5" s="5" t="str">
        <f t="shared" si="1"/>
        <v>15.74%</v>
      </c>
      <c r="Q5" s="5"/>
      <c r="R5" s="13"/>
      <c r="S5" s="1"/>
      <c r="T5" s="1"/>
    </row>
    <row r="6" spans="1:20" x14ac:dyDescent="0.3">
      <c r="A6" s="1"/>
      <c r="B6" s="6" t="s">
        <v>6</v>
      </c>
      <c r="C6" s="5">
        <v>139</v>
      </c>
      <c r="D6" s="1"/>
      <c r="E6" s="6" t="s">
        <v>6</v>
      </c>
      <c r="F6" s="5">
        <v>65</v>
      </c>
      <c r="G6" s="1"/>
      <c r="H6" s="6" t="s">
        <v>6</v>
      </c>
      <c r="I6" s="5">
        <v>59</v>
      </c>
      <c r="K6" s="6" t="s">
        <v>11</v>
      </c>
      <c r="L6" s="12">
        <v>227481</v>
      </c>
      <c r="M6" s="5">
        <v>132065</v>
      </c>
      <c r="N6" s="5">
        <v>48553</v>
      </c>
      <c r="O6" s="5" t="str">
        <f t="shared" si="0"/>
        <v>58.06%</v>
      </c>
      <c r="P6" s="5" t="str">
        <f t="shared" si="1"/>
        <v>21.34%</v>
      </c>
      <c r="Q6" s="14">
        <v>47283</v>
      </c>
      <c r="R6" s="14">
        <v>29005</v>
      </c>
      <c r="S6" s="1"/>
      <c r="T6" s="1"/>
    </row>
    <row r="7" spans="1:20" x14ac:dyDescent="0.3">
      <c r="A7" s="1"/>
      <c r="B7" s="6" t="s">
        <v>7</v>
      </c>
      <c r="C7" s="5">
        <v>109314</v>
      </c>
      <c r="D7" s="1"/>
      <c r="E7" s="6" t="s">
        <v>7</v>
      </c>
      <c r="F7" s="5">
        <v>188</v>
      </c>
      <c r="G7" s="1"/>
      <c r="H7" s="6" t="s">
        <v>7</v>
      </c>
      <c r="I7" s="5">
        <v>419</v>
      </c>
      <c r="K7" s="6" t="s">
        <v>15</v>
      </c>
      <c r="L7" s="12">
        <v>378769</v>
      </c>
      <c r="M7" s="5">
        <v>149150</v>
      </c>
      <c r="N7" s="5">
        <v>47890</v>
      </c>
      <c r="O7" s="5" t="str">
        <f t="shared" si="0"/>
        <v>39.38%</v>
      </c>
      <c r="P7" s="5" t="str">
        <f t="shared" si="1"/>
        <v>12.64%</v>
      </c>
      <c r="Q7" s="13">
        <v>58562</v>
      </c>
      <c r="R7" s="13">
        <v>35048</v>
      </c>
      <c r="S7" s="1"/>
      <c r="T7" s="1"/>
    </row>
    <row r="8" spans="1:20" x14ac:dyDescent="0.3">
      <c r="A8" s="1"/>
      <c r="B8" s="6" t="s">
        <v>8</v>
      </c>
      <c r="C8" s="5">
        <v>507</v>
      </c>
      <c r="D8" s="1"/>
      <c r="E8" s="6" t="s">
        <v>8</v>
      </c>
      <c r="F8" s="5">
        <v>40983</v>
      </c>
      <c r="G8" s="1"/>
      <c r="H8" s="6" t="s">
        <v>8</v>
      </c>
      <c r="I8" s="5">
        <v>588</v>
      </c>
      <c r="K8" s="6" t="s">
        <v>20</v>
      </c>
      <c r="L8" s="12">
        <v>436028</v>
      </c>
      <c r="M8" s="5">
        <v>99239</v>
      </c>
      <c r="N8" s="5">
        <v>65206</v>
      </c>
      <c r="O8" s="5" t="str">
        <f t="shared" si="0"/>
        <v>22.76%</v>
      </c>
      <c r="P8" s="5" t="str">
        <f t="shared" si="1"/>
        <v>14.95%</v>
      </c>
      <c r="Q8" s="13">
        <v>67246</v>
      </c>
      <c r="R8" s="13">
        <v>44963</v>
      </c>
      <c r="S8" s="1"/>
      <c r="T8" s="1"/>
    </row>
    <row r="9" spans="1:20" x14ac:dyDescent="0.3">
      <c r="A9" s="1"/>
      <c r="B9" s="6" t="s">
        <v>9</v>
      </c>
      <c r="C9" s="5">
        <v>176</v>
      </c>
      <c r="D9" s="1"/>
      <c r="E9" s="6" t="s">
        <v>9</v>
      </c>
      <c r="F9" s="5">
        <v>97</v>
      </c>
      <c r="G9" s="1"/>
      <c r="H9" s="6" t="s">
        <v>9</v>
      </c>
      <c r="I9" s="5">
        <v>112</v>
      </c>
      <c r="K9" s="6" t="s">
        <v>21</v>
      </c>
      <c r="L9" s="12">
        <v>374794</v>
      </c>
      <c r="M9" s="5">
        <v>63209</v>
      </c>
      <c r="N9" s="5">
        <v>42024</v>
      </c>
      <c r="O9" s="5" t="str">
        <f t="shared" si="0"/>
        <v>16.86%</v>
      </c>
      <c r="P9" s="5" t="str">
        <f t="shared" si="1"/>
        <v>11.21%</v>
      </c>
      <c r="Q9" s="13">
        <v>36031</v>
      </c>
      <c r="R9" s="13">
        <v>25351</v>
      </c>
      <c r="S9" s="1"/>
      <c r="T9" s="1"/>
    </row>
    <row r="10" spans="1:20" x14ac:dyDescent="0.3">
      <c r="A10" s="1"/>
      <c r="B10" s="6" t="s">
        <v>10</v>
      </c>
      <c r="C10" s="5">
        <v>627</v>
      </c>
      <c r="D10" s="1"/>
      <c r="E10" s="6" t="s">
        <v>10</v>
      </c>
      <c r="F10" s="5">
        <v>307</v>
      </c>
      <c r="G10" s="1"/>
      <c r="H10" s="6" t="s">
        <v>10</v>
      </c>
      <c r="I10" s="5">
        <v>61774</v>
      </c>
      <c r="K10" s="9"/>
      <c r="L10" s="10"/>
      <c r="M10" s="1"/>
      <c r="N10" s="10"/>
      <c r="O10" s="10"/>
      <c r="P10" s="10"/>
      <c r="Q10" s="10"/>
      <c r="R10" s="10"/>
      <c r="S10" s="1"/>
      <c r="T10" s="1"/>
    </row>
    <row r="11" spans="1:20" x14ac:dyDescent="0.3">
      <c r="A11" s="1"/>
      <c r="B11" s="6" t="s">
        <v>11</v>
      </c>
      <c r="C11" s="5">
        <v>194</v>
      </c>
      <c r="D11" s="1"/>
      <c r="E11" s="6" t="s">
        <v>11</v>
      </c>
      <c r="F11" s="5">
        <v>363</v>
      </c>
      <c r="G11" s="1"/>
      <c r="H11" s="6" t="s">
        <v>11</v>
      </c>
      <c r="I11" s="5">
        <v>525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6" t="s">
        <v>12</v>
      </c>
      <c r="C12" s="5">
        <v>224</v>
      </c>
      <c r="D12" s="1"/>
      <c r="E12" s="6" t="s">
        <v>12</v>
      </c>
      <c r="F12" s="5">
        <v>89</v>
      </c>
      <c r="G12" s="1"/>
      <c r="H12" s="6" t="s">
        <v>12</v>
      </c>
      <c r="I12" s="5">
        <v>118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6" t="s">
        <v>13</v>
      </c>
      <c r="C13" s="5">
        <v>110</v>
      </c>
      <c r="D13" s="1"/>
      <c r="E13" s="6" t="s">
        <v>13</v>
      </c>
      <c r="F13" s="5">
        <v>69</v>
      </c>
      <c r="G13" s="1"/>
      <c r="H13" s="6" t="s">
        <v>13</v>
      </c>
      <c r="I13" s="5">
        <v>73</v>
      </c>
      <c r="K13" s="2" t="s">
        <v>27</v>
      </c>
      <c r="L13" s="2" t="s">
        <v>36</v>
      </c>
      <c r="M13" s="2" t="s">
        <v>37</v>
      </c>
      <c r="N13" s="2" t="s">
        <v>38</v>
      </c>
      <c r="O13" s="2" t="s">
        <v>39</v>
      </c>
      <c r="P13" s="2" t="s">
        <v>40</v>
      </c>
      <c r="Q13" s="2" t="s">
        <v>41</v>
      </c>
      <c r="R13" s="2" t="s">
        <v>42</v>
      </c>
      <c r="S13" s="2" t="s">
        <v>43</v>
      </c>
      <c r="T13" s="2" t="s">
        <v>44</v>
      </c>
    </row>
    <row r="14" spans="1:20" x14ac:dyDescent="0.3">
      <c r="A14" s="1"/>
      <c r="B14" s="6" t="s">
        <v>14</v>
      </c>
      <c r="C14" s="5">
        <v>162</v>
      </c>
      <c r="D14" s="1"/>
      <c r="E14" s="6" t="s">
        <v>14</v>
      </c>
      <c r="F14" s="5">
        <v>65</v>
      </c>
      <c r="G14" s="1"/>
      <c r="H14" s="6" t="s">
        <v>14</v>
      </c>
      <c r="I14" s="5">
        <v>76</v>
      </c>
      <c r="K14" s="16" t="s">
        <v>7</v>
      </c>
      <c r="L14" s="6" t="s">
        <v>53</v>
      </c>
      <c r="M14" s="5">
        <v>34</v>
      </c>
      <c r="N14" s="5">
        <v>514</v>
      </c>
      <c r="O14" s="5">
        <v>228</v>
      </c>
      <c r="P14" s="5">
        <v>306</v>
      </c>
      <c r="Q14" s="5">
        <v>909</v>
      </c>
      <c r="R14" s="5">
        <v>416</v>
      </c>
      <c r="S14" s="5">
        <v>223</v>
      </c>
      <c r="T14" s="5">
        <v>952</v>
      </c>
    </row>
    <row r="15" spans="1:20" x14ac:dyDescent="0.3">
      <c r="A15" s="1"/>
      <c r="B15" s="6" t="s">
        <v>15</v>
      </c>
      <c r="C15" s="5">
        <v>427</v>
      </c>
      <c r="D15" s="1"/>
      <c r="E15" s="6" t="s">
        <v>15</v>
      </c>
      <c r="F15" s="5">
        <v>2240</v>
      </c>
      <c r="G15" s="1"/>
      <c r="H15" s="6" t="s">
        <v>15</v>
      </c>
      <c r="I15" s="5">
        <v>595</v>
      </c>
      <c r="K15" s="16" t="s">
        <v>7</v>
      </c>
      <c r="L15" s="6" t="s">
        <v>34</v>
      </c>
      <c r="M15" s="5">
        <v>2431</v>
      </c>
      <c r="N15" s="5">
        <v>12622</v>
      </c>
      <c r="O15" s="5">
        <v>18043</v>
      </c>
      <c r="P15" s="5">
        <v>18421</v>
      </c>
      <c r="Q15" s="5">
        <v>19232</v>
      </c>
      <c r="R15" s="5">
        <v>12151</v>
      </c>
      <c r="S15" s="5">
        <v>7058</v>
      </c>
      <c r="T15" s="5">
        <v>106</v>
      </c>
    </row>
    <row r="16" spans="1:20" x14ac:dyDescent="0.3">
      <c r="A16" s="1"/>
      <c r="B16" s="6" t="s">
        <v>1</v>
      </c>
      <c r="C16" s="5">
        <v>760</v>
      </c>
      <c r="D16" s="1"/>
      <c r="E16" s="6" t="s">
        <v>1</v>
      </c>
      <c r="F16" s="5">
        <v>162</v>
      </c>
      <c r="G16" s="1"/>
      <c r="H16" s="6" t="s">
        <v>1</v>
      </c>
      <c r="I16" s="5">
        <v>210</v>
      </c>
      <c r="K16" s="16" t="s">
        <v>7</v>
      </c>
      <c r="L16" s="6" t="s">
        <v>35</v>
      </c>
      <c r="M16" s="5">
        <v>2553</v>
      </c>
      <c r="N16" s="5">
        <v>13943</v>
      </c>
      <c r="O16" s="5">
        <v>28289</v>
      </c>
      <c r="P16" s="5">
        <v>32235</v>
      </c>
      <c r="Q16" s="5">
        <v>36133</v>
      </c>
      <c r="R16" s="5">
        <v>18584</v>
      </c>
      <c r="S16" s="5">
        <v>8666</v>
      </c>
      <c r="T16" s="5">
        <v>167</v>
      </c>
    </row>
    <row r="17" spans="1:20" x14ac:dyDescent="0.3">
      <c r="A17" s="1"/>
      <c r="B17" s="6" t="s">
        <v>2</v>
      </c>
      <c r="C17" s="5">
        <v>338</v>
      </c>
      <c r="D17" s="1"/>
      <c r="E17" s="6" t="s">
        <v>2</v>
      </c>
      <c r="F17" s="5">
        <v>121</v>
      </c>
      <c r="G17" s="1"/>
      <c r="H17" s="6" t="s">
        <v>2</v>
      </c>
      <c r="I17" s="5">
        <v>131</v>
      </c>
      <c r="K17" s="16" t="s">
        <v>8</v>
      </c>
      <c r="L17" s="6" t="s">
        <v>53</v>
      </c>
      <c r="M17" s="5">
        <v>5</v>
      </c>
      <c r="N17" s="5">
        <v>218</v>
      </c>
      <c r="O17" s="5">
        <v>332</v>
      </c>
      <c r="P17" s="5">
        <v>700</v>
      </c>
      <c r="Q17" s="5">
        <v>703</v>
      </c>
      <c r="R17" s="5">
        <v>381</v>
      </c>
      <c r="S17" s="5">
        <v>140</v>
      </c>
      <c r="T17" s="5">
        <v>8</v>
      </c>
    </row>
    <row r="18" spans="1:20" x14ac:dyDescent="0.3">
      <c r="A18" s="1"/>
      <c r="B18" s="6" t="s">
        <v>16</v>
      </c>
      <c r="C18" s="5">
        <v>293</v>
      </c>
      <c r="D18" s="1"/>
      <c r="E18" s="6" t="s">
        <v>16</v>
      </c>
      <c r="F18" s="5">
        <v>414</v>
      </c>
      <c r="G18" s="1"/>
      <c r="H18" s="6" t="s">
        <v>16</v>
      </c>
      <c r="I18" s="5">
        <v>164</v>
      </c>
      <c r="K18" s="16" t="s">
        <v>8</v>
      </c>
      <c r="L18" s="6" t="s">
        <v>34</v>
      </c>
      <c r="M18" s="5">
        <v>1019</v>
      </c>
      <c r="N18" s="5">
        <v>2234</v>
      </c>
      <c r="O18" s="5">
        <v>3886</v>
      </c>
      <c r="P18" s="5">
        <v>4807</v>
      </c>
      <c r="Q18" s="5">
        <v>5331</v>
      </c>
      <c r="R18" s="5">
        <v>3161</v>
      </c>
      <c r="S18" s="5">
        <v>1921</v>
      </c>
      <c r="T18" s="5">
        <v>16</v>
      </c>
    </row>
    <row r="19" spans="1:20" x14ac:dyDescent="0.3">
      <c r="A19" s="1"/>
      <c r="B19" s="6" t="s">
        <v>17</v>
      </c>
      <c r="C19" s="5">
        <v>185</v>
      </c>
      <c r="D19" s="1"/>
      <c r="E19" s="6" t="s">
        <v>17</v>
      </c>
      <c r="F19" s="5">
        <v>88</v>
      </c>
      <c r="G19" s="1"/>
      <c r="H19" s="6" t="s">
        <v>17</v>
      </c>
      <c r="I19" s="5">
        <v>79</v>
      </c>
      <c r="K19" s="16" t="s">
        <v>8</v>
      </c>
      <c r="L19" s="6" t="s">
        <v>35</v>
      </c>
      <c r="M19" s="5">
        <v>1078</v>
      </c>
      <c r="N19" s="5">
        <v>2695</v>
      </c>
      <c r="O19" s="5">
        <v>10753</v>
      </c>
      <c r="P19" s="5">
        <v>11785</v>
      </c>
      <c r="Q19" s="5">
        <v>10881</v>
      </c>
      <c r="R19" s="5">
        <v>4775</v>
      </c>
      <c r="S19" s="5">
        <v>2194</v>
      </c>
      <c r="T19" s="5">
        <v>10</v>
      </c>
    </row>
    <row r="20" spans="1:20" x14ac:dyDescent="0.3">
      <c r="A20" s="1"/>
      <c r="B20" s="6" t="s">
        <v>18</v>
      </c>
      <c r="C20" s="5">
        <v>235</v>
      </c>
      <c r="D20" s="1"/>
      <c r="E20" s="6" t="s">
        <v>18</v>
      </c>
      <c r="F20" s="5">
        <v>112</v>
      </c>
      <c r="G20" s="1"/>
      <c r="H20" s="6" t="s">
        <v>18</v>
      </c>
      <c r="I20" s="5">
        <v>136</v>
      </c>
      <c r="K20" s="16" t="s">
        <v>10</v>
      </c>
      <c r="L20" s="6" t="s">
        <v>53</v>
      </c>
      <c r="M20" s="5">
        <v>566</v>
      </c>
      <c r="N20" s="5">
        <v>260</v>
      </c>
      <c r="O20" s="5">
        <v>1</v>
      </c>
      <c r="P20" s="5">
        <v>0</v>
      </c>
      <c r="Q20" s="5">
        <v>1</v>
      </c>
      <c r="R20" s="5">
        <v>0</v>
      </c>
      <c r="S20" s="5">
        <v>0</v>
      </c>
      <c r="T20" s="5">
        <v>715</v>
      </c>
    </row>
    <row r="21" spans="1:20" x14ac:dyDescent="0.3">
      <c r="A21" s="1"/>
      <c r="B21" s="6" t="s">
        <v>19</v>
      </c>
      <c r="C21" s="5">
        <v>318</v>
      </c>
      <c r="D21" s="1"/>
      <c r="E21" s="6" t="s">
        <v>19</v>
      </c>
      <c r="F21" s="5">
        <v>184</v>
      </c>
      <c r="G21" s="1"/>
      <c r="H21" s="6" t="s">
        <v>19</v>
      </c>
      <c r="I21" s="5">
        <v>139</v>
      </c>
      <c r="K21" s="16" t="s">
        <v>10</v>
      </c>
      <c r="L21" s="6" t="s">
        <v>34</v>
      </c>
      <c r="M21" s="5">
        <v>2880</v>
      </c>
      <c r="N21" s="5">
        <v>13772</v>
      </c>
      <c r="O21" s="5">
        <v>11754</v>
      </c>
      <c r="P21" s="5">
        <v>8709</v>
      </c>
      <c r="Q21" s="5">
        <v>19072</v>
      </c>
      <c r="R21" s="5">
        <v>10697</v>
      </c>
      <c r="S21" s="5">
        <v>6966</v>
      </c>
      <c r="T21" s="5">
        <v>12</v>
      </c>
    </row>
    <row r="22" spans="1:20" x14ac:dyDescent="0.3">
      <c r="A22" s="1"/>
      <c r="B22" s="6" t="s">
        <v>20</v>
      </c>
      <c r="C22" s="5">
        <v>6923</v>
      </c>
      <c r="D22" s="1"/>
      <c r="E22" s="6" t="s">
        <v>20</v>
      </c>
      <c r="F22" s="5">
        <v>110</v>
      </c>
      <c r="G22" s="1"/>
      <c r="H22" s="6" t="s">
        <v>20</v>
      </c>
      <c r="I22" s="5">
        <v>3082</v>
      </c>
      <c r="K22" s="16" t="s">
        <v>10</v>
      </c>
      <c r="L22" s="6" t="s">
        <v>35</v>
      </c>
      <c r="M22" s="5">
        <v>2491</v>
      </c>
      <c r="N22" s="5">
        <v>3602</v>
      </c>
      <c r="O22" s="5">
        <v>6240</v>
      </c>
      <c r="P22" s="5">
        <v>10981</v>
      </c>
      <c r="Q22" s="5">
        <v>12053</v>
      </c>
      <c r="R22" s="5">
        <v>3870</v>
      </c>
      <c r="S22" s="5">
        <v>2339</v>
      </c>
      <c r="T22" s="5">
        <v>2</v>
      </c>
    </row>
    <row r="23" spans="1:20" x14ac:dyDescent="0.3">
      <c r="A23" s="1"/>
      <c r="B23" s="6" t="s">
        <v>21</v>
      </c>
      <c r="C23" s="5">
        <v>1019</v>
      </c>
      <c r="D23" s="1"/>
      <c r="E23" s="6" t="s">
        <v>21</v>
      </c>
      <c r="F23" s="5">
        <v>392</v>
      </c>
      <c r="G23" s="1"/>
      <c r="H23" s="6" t="s">
        <v>21</v>
      </c>
      <c r="I23" s="5">
        <v>2037</v>
      </c>
      <c r="K23" s="16" t="s">
        <v>11</v>
      </c>
      <c r="L23" s="6" t="s">
        <v>53</v>
      </c>
      <c r="M23" s="6">
        <v>0</v>
      </c>
      <c r="N23" s="6">
        <v>2</v>
      </c>
      <c r="O23" s="6">
        <v>39</v>
      </c>
      <c r="P23" s="6">
        <v>45</v>
      </c>
      <c r="Q23" s="6">
        <v>30</v>
      </c>
      <c r="R23" s="6">
        <v>7</v>
      </c>
      <c r="S23" s="6">
        <v>2</v>
      </c>
      <c r="T23" s="6">
        <v>10</v>
      </c>
    </row>
    <row r="24" spans="1:20" x14ac:dyDescent="0.3">
      <c r="A24" s="1"/>
      <c r="B24" s="6" t="s">
        <v>22</v>
      </c>
      <c r="C24" s="5">
        <v>210</v>
      </c>
      <c r="D24" s="1"/>
      <c r="E24" s="6" t="s">
        <v>22</v>
      </c>
      <c r="F24" s="5">
        <v>100</v>
      </c>
      <c r="G24" s="1"/>
      <c r="H24" s="6" t="s">
        <v>22</v>
      </c>
      <c r="I24" s="5">
        <v>124</v>
      </c>
      <c r="K24" s="16" t="s">
        <v>11</v>
      </c>
      <c r="L24" s="6" t="s">
        <v>34</v>
      </c>
      <c r="M24" s="6">
        <v>1413</v>
      </c>
      <c r="N24" s="6">
        <v>5836</v>
      </c>
      <c r="O24" s="6">
        <v>10059</v>
      </c>
      <c r="P24" s="6">
        <v>13865</v>
      </c>
      <c r="Q24" s="6">
        <v>13230</v>
      </c>
      <c r="R24" s="6">
        <v>7974</v>
      </c>
      <c r="S24" s="6">
        <v>5058</v>
      </c>
      <c r="T24" s="6">
        <v>198</v>
      </c>
    </row>
    <row r="25" spans="1:20" x14ac:dyDescent="0.3">
      <c r="A25" s="1"/>
      <c r="B25" s="6" t="s">
        <v>3</v>
      </c>
      <c r="C25" s="5">
        <v>442</v>
      </c>
      <c r="D25" s="1"/>
      <c r="E25" s="6" t="s">
        <v>3</v>
      </c>
      <c r="F25" s="5">
        <v>145</v>
      </c>
      <c r="G25" s="1"/>
      <c r="H25" s="6" t="s">
        <v>3</v>
      </c>
      <c r="I25" s="5">
        <v>180</v>
      </c>
      <c r="K25" s="16" t="s">
        <v>11</v>
      </c>
      <c r="L25" s="6" t="s">
        <v>35</v>
      </c>
      <c r="M25" s="6">
        <v>1324</v>
      </c>
      <c r="N25" s="6">
        <v>6209</v>
      </c>
      <c r="O25" s="6">
        <v>14541</v>
      </c>
      <c r="P25" s="6">
        <v>19344</v>
      </c>
      <c r="Q25" s="6">
        <v>17936</v>
      </c>
      <c r="R25" s="6">
        <v>9903</v>
      </c>
      <c r="S25" s="6">
        <v>4914</v>
      </c>
      <c r="T25" s="6">
        <v>126</v>
      </c>
    </row>
    <row r="26" spans="1:20" x14ac:dyDescent="0.3">
      <c r="A26" s="1"/>
      <c r="B26" s="6" t="s">
        <v>23</v>
      </c>
      <c r="C26" s="5">
        <v>119</v>
      </c>
      <c r="D26" s="1"/>
      <c r="E26" s="6" t="s">
        <v>23</v>
      </c>
      <c r="F26" s="5">
        <v>49</v>
      </c>
      <c r="G26" s="1"/>
      <c r="H26" s="6" t="s">
        <v>23</v>
      </c>
      <c r="I26" s="5">
        <v>48</v>
      </c>
      <c r="K26" s="16" t="s">
        <v>15</v>
      </c>
      <c r="L26" s="6" t="s">
        <v>53</v>
      </c>
      <c r="M26" s="6">
        <v>129</v>
      </c>
      <c r="N26" s="6">
        <v>10323</v>
      </c>
      <c r="O26" s="6">
        <v>10198</v>
      </c>
      <c r="P26" s="6">
        <v>6315</v>
      </c>
      <c r="Q26" s="6">
        <v>14923</v>
      </c>
      <c r="R26" s="6">
        <v>14465</v>
      </c>
      <c r="S26" s="6">
        <v>4830</v>
      </c>
      <c r="T26" s="6">
        <v>2999</v>
      </c>
    </row>
    <row r="27" spans="1:20" x14ac:dyDescent="0.3">
      <c r="A27" s="1"/>
      <c r="B27" s="6" t="s">
        <v>24</v>
      </c>
      <c r="C27" s="5">
        <v>117</v>
      </c>
      <c r="D27" s="1"/>
      <c r="E27" s="6" t="s">
        <v>24</v>
      </c>
      <c r="F27" s="5">
        <v>50</v>
      </c>
      <c r="G27" s="1"/>
      <c r="H27" s="6" t="s">
        <v>24</v>
      </c>
      <c r="I27" s="5">
        <v>57</v>
      </c>
      <c r="K27" s="16" t="s">
        <v>15</v>
      </c>
      <c r="L27" s="6" t="s">
        <v>34</v>
      </c>
      <c r="M27" s="6">
        <v>1934</v>
      </c>
      <c r="N27" s="6">
        <v>2928</v>
      </c>
      <c r="O27" s="6">
        <v>3570</v>
      </c>
      <c r="P27" s="6">
        <v>5480</v>
      </c>
      <c r="Q27" s="6">
        <v>8279</v>
      </c>
      <c r="R27" s="6">
        <v>3787</v>
      </c>
      <c r="S27" s="6">
        <v>2806</v>
      </c>
      <c r="T27" s="6">
        <v>22</v>
      </c>
    </row>
    <row r="28" spans="1:20" x14ac:dyDescent="0.3">
      <c r="A28" s="1"/>
      <c r="B28" s="6" t="s">
        <v>25</v>
      </c>
      <c r="C28" s="5">
        <v>153</v>
      </c>
      <c r="D28" s="1"/>
      <c r="E28" s="6" t="s">
        <v>25</v>
      </c>
      <c r="F28" s="5">
        <v>63</v>
      </c>
      <c r="G28" s="1"/>
      <c r="H28" s="6" t="s">
        <v>25</v>
      </c>
      <c r="I28" s="5">
        <v>83</v>
      </c>
      <c r="K28" s="16" t="s">
        <v>15</v>
      </c>
      <c r="L28" s="6" t="s">
        <v>35</v>
      </c>
      <c r="M28" s="6">
        <v>2117</v>
      </c>
      <c r="N28" s="6">
        <v>3837</v>
      </c>
      <c r="O28" s="6">
        <v>9466</v>
      </c>
      <c r="P28" s="6">
        <v>13662</v>
      </c>
      <c r="Q28" s="6">
        <v>17166</v>
      </c>
      <c r="R28" s="6">
        <v>6368</v>
      </c>
      <c r="S28" s="6">
        <v>3516</v>
      </c>
      <c r="T28" s="6">
        <v>30</v>
      </c>
    </row>
    <row r="29" spans="1:20" x14ac:dyDescent="0.3">
      <c r="A29" s="1"/>
      <c r="B29" s="11"/>
      <c r="C29" s="7">
        <v>110707</v>
      </c>
      <c r="D29" s="1"/>
      <c r="E29" s="11"/>
      <c r="F29" s="7">
        <v>22170</v>
      </c>
      <c r="G29" s="1"/>
      <c r="H29" s="11"/>
      <c r="I29" s="7">
        <v>45915</v>
      </c>
      <c r="K29" s="16" t="s">
        <v>20</v>
      </c>
      <c r="L29" s="6" t="s">
        <v>53</v>
      </c>
      <c r="M29" s="6">
        <v>0</v>
      </c>
      <c r="N29" s="6">
        <v>3</v>
      </c>
      <c r="O29" s="6">
        <v>2</v>
      </c>
      <c r="P29" s="6">
        <v>3</v>
      </c>
      <c r="Q29" s="6">
        <v>11</v>
      </c>
      <c r="R29" s="6">
        <v>10</v>
      </c>
      <c r="S29" s="6">
        <v>1</v>
      </c>
      <c r="T29" s="6">
        <v>2</v>
      </c>
    </row>
    <row r="30" spans="1:20" x14ac:dyDescent="0.3">
      <c r="A30" s="1"/>
      <c r="B30" s="8"/>
      <c r="C30" s="8"/>
      <c r="D30" s="1"/>
      <c r="E30" s="8"/>
      <c r="F30" s="8"/>
      <c r="G30" s="1"/>
      <c r="H30" s="8"/>
      <c r="I30" s="8"/>
      <c r="K30" s="16" t="s">
        <v>20</v>
      </c>
      <c r="L30" s="6" t="s">
        <v>34</v>
      </c>
      <c r="M30" s="6">
        <v>2319</v>
      </c>
      <c r="N30" s="6">
        <v>6305</v>
      </c>
      <c r="O30" s="6">
        <v>3409</v>
      </c>
      <c r="P30" s="6">
        <v>3475</v>
      </c>
      <c r="Q30" s="6">
        <v>8430</v>
      </c>
      <c r="R30" s="6">
        <v>4422</v>
      </c>
      <c r="S30" s="6">
        <v>2588</v>
      </c>
      <c r="T30" s="6">
        <v>30</v>
      </c>
    </row>
    <row r="31" spans="1:20" x14ac:dyDescent="0.3">
      <c r="A31" s="1"/>
      <c r="B31" s="1"/>
      <c r="C31" s="1"/>
      <c r="D31" s="1"/>
      <c r="E31" s="9"/>
      <c r="F31" s="9"/>
      <c r="G31" s="1"/>
      <c r="H31" s="1"/>
      <c r="I31" s="1"/>
      <c r="K31" s="16" t="s">
        <v>20</v>
      </c>
      <c r="L31" s="6" t="s">
        <v>35</v>
      </c>
      <c r="M31" s="6">
        <v>2606</v>
      </c>
      <c r="N31" s="6">
        <v>9293</v>
      </c>
      <c r="O31" s="6">
        <v>8598</v>
      </c>
      <c r="P31" s="6">
        <v>11279</v>
      </c>
      <c r="Q31" s="6">
        <v>22165</v>
      </c>
      <c r="R31" s="6">
        <v>9744</v>
      </c>
      <c r="S31" s="6">
        <v>4510</v>
      </c>
      <c r="T31" s="6">
        <v>34</v>
      </c>
    </row>
    <row r="32" spans="1:20" x14ac:dyDescent="0.3">
      <c r="B32" s="15" t="s">
        <v>49</v>
      </c>
      <c r="C32" s="15"/>
      <c r="E32" s="15" t="s">
        <v>50</v>
      </c>
      <c r="F32" s="15"/>
      <c r="H32" s="15" t="s">
        <v>51</v>
      </c>
      <c r="I32" s="15"/>
      <c r="K32" s="16" t="s">
        <v>21</v>
      </c>
      <c r="L32" s="6" t="s">
        <v>53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1</v>
      </c>
      <c r="S32" s="6">
        <v>0</v>
      </c>
      <c r="T32" s="6">
        <v>1</v>
      </c>
    </row>
    <row r="33" spans="2:20" x14ac:dyDescent="0.3">
      <c r="B33" s="3" t="s">
        <v>26</v>
      </c>
      <c r="C33" s="3" t="s">
        <v>0</v>
      </c>
      <c r="E33" s="3" t="s">
        <v>26</v>
      </c>
      <c r="F33" s="3" t="s">
        <v>0</v>
      </c>
      <c r="H33" s="3" t="s">
        <v>26</v>
      </c>
      <c r="I33" s="3" t="s">
        <v>0</v>
      </c>
      <c r="K33" s="16" t="s">
        <v>21</v>
      </c>
      <c r="L33" s="6" t="s">
        <v>34</v>
      </c>
      <c r="M33" s="6">
        <v>1027</v>
      </c>
      <c r="N33" s="6">
        <v>2010</v>
      </c>
      <c r="O33" s="6">
        <v>3058</v>
      </c>
      <c r="P33" s="6">
        <v>5004</v>
      </c>
      <c r="Q33" s="6">
        <v>6836</v>
      </c>
      <c r="R33" s="6">
        <v>3522</v>
      </c>
      <c r="S33" s="6">
        <v>2392</v>
      </c>
      <c r="T33" s="6">
        <v>39</v>
      </c>
    </row>
    <row r="34" spans="2:20" x14ac:dyDescent="0.3">
      <c r="B34" s="6" t="s">
        <v>4</v>
      </c>
      <c r="C34" s="5">
        <v>264</v>
      </c>
      <c r="E34" s="6" t="s">
        <v>4</v>
      </c>
      <c r="F34" s="5">
        <v>272</v>
      </c>
      <c r="H34" s="6" t="s">
        <v>4</v>
      </c>
      <c r="I34" s="5">
        <v>171</v>
      </c>
      <c r="K34" s="16" t="s">
        <v>21</v>
      </c>
      <c r="L34" s="6" t="s">
        <v>35</v>
      </c>
      <c r="M34" s="6">
        <v>1239</v>
      </c>
      <c r="N34" s="6">
        <v>2390</v>
      </c>
      <c r="O34" s="6">
        <v>7369</v>
      </c>
      <c r="P34" s="6">
        <v>11330</v>
      </c>
      <c r="Q34" s="6">
        <v>10942</v>
      </c>
      <c r="R34" s="6">
        <v>4094</v>
      </c>
      <c r="S34" s="6">
        <v>1939</v>
      </c>
      <c r="T34" s="6">
        <v>15</v>
      </c>
    </row>
    <row r="35" spans="2:20" x14ac:dyDescent="0.3">
      <c r="B35" s="6" t="s">
        <v>5</v>
      </c>
      <c r="C35" s="5">
        <v>113</v>
      </c>
      <c r="E35" s="6" t="s">
        <v>5</v>
      </c>
      <c r="F35" s="5">
        <v>116</v>
      </c>
      <c r="H35" s="6" t="s">
        <v>5</v>
      </c>
      <c r="I35" s="5">
        <v>110</v>
      </c>
    </row>
    <row r="36" spans="2:20" x14ac:dyDescent="0.3">
      <c r="B36" s="6" t="s">
        <v>6</v>
      </c>
      <c r="C36" s="5">
        <v>78</v>
      </c>
      <c r="E36" s="6" t="s">
        <v>6</v>
      </c>
      <c r="F36" s="5">
        <v>44</v>
      </c>
      <c r="H36" s="6" t="s">
        <v>6</v>
      </c>
      <c r="I36" s="5">
        <v>66</v>
      </c>
    </row>
    <row r="37" spans="2:20" x14ac:dyDescent="0.3">
      <c r="B37" s="6" t="s">
        <v>7</v>
      </c>
      <c r="C37" s="5">
        <v>364</v>
      </c>
      <c r="E37" s="6" t="s">
        <v>7</v>
      </c>
      <c r="F37" s="5">
        <v>184</v>
      </c>
      <c r="H37" s="6" t="s">
        <v>7</v>
      </c>
      <c r="I37" s="5">
        <v>3212</v>
      </c>
    </row>
    <row r="38" spans="2:20" x14ac:dyDescent="0.3">
      <c r="B38" s="6" t="s">
        <v>8</v>
      </c>
      <c r="C38" s="5">
        <v>4314</v>
      </c>
      <c r="E38" s="6" t="s">
        <v>8</v>
      </c>
      <c r="F38" s="5">
        <v>3581</v>
      </c>
      <c r="H38" s="6" t="s">
        <v>8</v>
      </c>
      <c r="I38" s="5">
        <v>282</v>
      </c>
    </row>
    <row r="39" spans="2:20" x14ac:dyDescent="0.3">
      <c r="B39" s="6" t="s">
        <v>9</v>
      </c>
      <c r="C39" s="5">
        <v>133</v>
      </c>
      <c r="E39" s="6" t="s">
        <v>9</v>
      </c>
      <c r="F39" s="5">
        <v>151</v>
      </c>
      <c r="H39" s="6" t="s">
        <v>9</v>
      </c>
      <c r="I39" s="5">
        <v>125</v>
      </c>
    </row>
    <row r="40" spans="2:20" x14ac:dyDescent="0.3">
      <c r="B40" s="6" t="s">
        <v>10</v>
      </c>
      <c r="C40" s="5">
        <v>1967</v>
      </c>
      <c r="E40" s="6" t="s">
        <v>10</v>
      </c>
      <c r="F40" s="5">
        <v>267</v>
      </c>
      <c r="H40" s="6" t="s">
        <v>10</v>
      </c>
      <c r="I40" s="5">
        <v>2209</v>
      </c>
    </row>
    <row r="41" spans="2:20" x14ac:dyDescent="0.3">
      <c r="B41" s="6" t="s">
        <v>11</v>
      </c>
      <c r="C41" s="5">
        <v>48553</v>
      </c>
      <c r="E41" s="6" t="s">
        <v>11</v>
      </c>
      <c r="F41" s="5">
        <v>157</v>
      </c>
      <c r="H41" s="6" t="s">
        <v>11</v>
      </c>
      <c r="I41" s="5">
        <v>136</v>
      </c>
    </row>
    <row r="42" spans="2:20" x14ac:dyDescent="0.3">
      <c r="B42" s="6" t="s">
        <v>12</v>
      </c>
      <c r="C42" s="5">
        <v>142</v>
      </c>
      <c r="E42" s="6" t="s">
        <v>12</v>
      </c>
      <c r="F42" s="5">
        <v>110</v>
      </c>
      <c r="H42" s="6" t="s">
        <v>12</v>
      </c>
      <c r="I42" s="5">
        <v>128</v>
      </c>
    </row>
    <row r="43" spans="2:20" x14ac:dyDescent="0.3">
      <c r="B43" s="6" t="s">
        <v>13</v>
      </c>
      <c r="C43" s="5">
        <v>72</v>
      </c>
      <c r="E43" s="6" t="s">
        <v>13</v>
      </c>
      <c r="F43" s="5">
        <v>95</v>
      </c>
      <c r="H43" s="6" t="s">
        <v>13</v>
      </c>
      <c r="I43" s="5">
        <v>77</v>
      </c>
    </row>
    <row r="44" spans="2:20" x14ac:dyDescent="0.3">
      <c r="B44" s="6" t="s">
        <v>14</v>
      </c>
      <c r="C44" s="5">
        <v>101</v>
      </c>
      <c r="E44" s="6" t="s">
        <v>14</v>
      </c>
      <c r="F44" s="5">
        <v>90</v>
      </c>
      <c r="H44" s="6" t="s">
        <v>14</v>
      </c>
      <c r="I44" s="5">
        <v>102</v>
      </c>
    </row>
    <row r="45" spans="2:20" x14ac:dyDescent="0.3">
      <c r="B45" s="6" t="s">
        <v>15</v>
      </c>
      <c r="C45" s="5">
        <v>838</v>
      </c>
      <c r="E45" s="6" t="s">
        <v>15</v>
      </c>
      <c r="F45" s="5">
        <v>47890</v>
      </c>
      <c r="H45" s="6" t="s">
        <v>15</v>
      </c>
      <c r="I45" s="5">
        <v>287</v>
      </c>
    </row>
    <row r="46" spans="2:20" x14ac:dyDescent="0.3">
      <c r="B46" s="6" t="s">
        <v>1</v>
      </c>
      <c r="C46" s="5">
        <v>211</v>
      </c>
      <c r="E46" s="6" t="s">
        <v>1</v>
      </c>
      <c r="F46" s="5">
        <v>205</v>
      </c>
      <c r="H46" s="6" t="s">
        <v>1</v>
      </c>
      <c r="I46" s="5">
        <v>386</v>
      </c>
    </row>
    <row r="47" spans="2:20" x14ac:dyDescent="0.3">
      <c r="B47" s="6" t="s">
        <v>2</v>
      </c>
      <c r="C47" s="5">
        <v>137</v>
      </c>
      <c r="E47" s="6" t="s">
        <v>2</v>
      </c>
      <c r="F47" s="5">
        <v>108</v>
      </c>
      <c r="H47" s="6" t="s">
        <v>2</v>
      </c>
      <c r="I47" s="5">
        <v>205</v>
      </c>
    </row>
    <row r="48" spans="2:20" x14ac:dyDescent="0.3">
      <c r="B48" s="6" t="s">
        <v>16</v>
      </c>
      <c r="C48" s="5">
        <v>244</v>
      </c>
      <c r="E48" s="6" t="s">
        <v>16</v>
      </c>
      <c r="F48" s="5">
        <v>1593</v>
      </c>
      <c r="H48" s="6" t="s">
        <v>16</v>
      </c>
      <c r="I48" s="5">
        <v>189</v>
      </c>
    </row>
    <row r="49" spans="2:9" x14ac:dyDescent="0.3">
      <c r="B49" s="6" t="s">
        <v>17</v>
      </c>
      <c r="C49" s="5">
        <v>87</v>
      </c>
      <c r="E49" s="6" t="s">
        <v>17</v>
      </c>
      <c r="F49" s="5">
        <v>92</v>
      </c>
      <c r="H49" s="6" t="s">
        <v>17</v>
      </c>
      <c r="I49" s="5">
        <v>90</v>
      </c>
    </row>
    <row r="50" spans="2:9" x14ac:dyDescent="0.3">
      <c r="B50" s="6" t="s">
        <v>18</v>
      </c>
      <c r="C50" s="5">
        <v>148</v>
      </c>
      <c r="E50" s="6" t="s">
        <v>18</v>
      </c>
      <c r="F50" s="5">
        <v>104</v>
      </c>
      <c r="H50" s="6" t="s">
        <v>18</v>
      </c>
      <c r="I50" s="5">
        <v>121</v>
      </c>
    </row>
    <row r="51" spans="2:9" x14ac:dyDescent="0.3">
      <c r="B51" s="6" t="s">
        <v>19</v>
      </c>
      <c r="C51" s="5">
        <v>168</v>
      </c>
      <c r="E51" s="6" t="s">
        <v>19</v>
      </c>
      <c r="F51" s="5">
        <v>143</v>
      </c>
      <c r="H51" s="6" t="s">
        <v>19</v>
      </c>
      <c r="I51" s="5">
        <v>173</v>
      </c>
    </row>
    <row r="52" spans="2:9" x14ac:dyDescent="0.3">
      <c r="B52" s="6" t="s">
        <v>20</v>
      </c>
      <c r="C52" s="5">
        <v>299</v>
      </c>
      <c r="E52" s="6" t="s">
        <v>20</v>
      </c>
      <c r="F52" s="5">
        <v>103</v>
      </c>
      <c r="H52" s="6" t="s">
        <v>20</v>
      </c>
      <c r="I52" s="5">
        <v>65206</v>
      </c>
    </row>
    <row r="53" spans="2:9" x14ac:dyDescent="0.3">
      <c r="B53" s="6" t="s">
        <v>21</v>
      </c>
      <c r="C53" s="5">
        <v>790</v>
      </c>
      <c r="E53" s="6" t="s">
        <v>21</v>
      </c>
      <c r="F53" s="5">
        <v>2935</v>
      </c>
      <c r="H53" s="6" t="s">
        <v>21</v>
      </c>
      <c r="I53" s="5">
        <v>1211</v>
      </c>
    </row>
    <row r="54" spans="2:9" x14ac:dyDescent="0.3">
      <c r="B54" s="6" t="s">
        <v>22</v>
      </c>
      <c r="C54" s="5">
        <v>116</v>
      </c>
      <c r="E54" s="6" t="s">
        <v>22</v>
      </c>
      <c r="F54" s="5">
        <v>375</v>
      </c>
      <c r="H54" s="6" t="s">
        <v>22</v>
      </c>
      <c r="I54" s="5">
        <v>119</v>
      </c>
    </row>
    <row r="55" spans="2:9" x14ac:dyDescent="0.3">
      <c r="B55" s="6" t="s">
        <v>3</v>
      </c>
      <c r="C55" s="5">
        <v>180</v>
      </c>
      <c r="E55" s="6" t="s">
        <v>3</v>
      </c>
      <c r="F55" s="5">
        <v>113</v>
      </c>
      <c r="H55" s="6" t="s">
        <v>3</v>
      </c>
      <c r="I55" s="5">
        <v>201</v>
      </c>
    </row>
    <row r="56" spans="2:9" x14ac:dyDescent="0.3">
      <c r="B56" s="6" t="s">
        <v>23</v>
      </c>
      <c r="C56" s="5">
        <v>74</v>
      </c>
      <c r="E56" s="6" t="s">
        <v>23</v>
      </c>
      <c r="F56" s="5">
        <v>49</v>
      </c>
      <c r="H56" s="6" t="s">
        <v>23</v>
      </c>
      <c r="I56" s="5">
        <v>73</v>
      </c>
    </row>
    <row r="57" spans="2:9" x14ac:dyDescent="0.3">
      <c r="B57" s="6" t="s">
        <v>24</v>
      </c>
      <c r="C57" s="5">
        <v>57</v>
      </c>
      <c r="E57" s="6" t="s">
        <v>24</v>
      </c>
      <c r="F57" s="5">
        <v>38</v>
      </c>
      <c r="H57" s="6" t="s">
        <v>24</v>
      </c>
      <c r="I57" s="5">
        <v>56</v>
      </c>
    </row>
    <row r="58" spans="2:9" x14ac:dyDescent="0.3">
      <c r="B58" s="6" t="s">
        <v>25</v>
      </c>
      <c r="C58" s="5">
        <v>102</v>
      </c>
      <c r="E58" s="6" t="s">
        <v>25</v>
      </c>
      <c r="F58" s="5">
        <v>110</v>
      </c>
      <c r="H58" s="6" t="s">
        <v>25</v>
      </c>
      <c r="I58" s="5">
        <v>93</v>
      </c>
    </row>
    <row r="59" spans="2:9" x14ac:dyDescent="0.3">
      <c r="B59" s="6"/>
      <c r="C59" s="5">
        <v>72513</v>
      </c>
      <c r="E59" s="6"/>
      <c r="F59" s="5">
        <v>90225</v>
      </c>
      <c r="H59" s="6"/>
      <c r="I59" s="5">
        <v>24211</v>
      </c>
    </row>
    <row r="61" spans="2:9" x14ac:dyDescent="0.3">
      <c r="B61" s="15" t="s">
        <v>52</v>
      </c>
      <c r="C61" s="15"/>
    </row>
    <row r="62" spans="2:9" x14ac:dyDescent="0.3">
      <c r="B62" s="3" t="s">
        <v>26</v>
      </c>
      <c r="C62" s="3" t="s">
        <v>0</v>
      </c>
    </row>
    <row r="63" spans="2:9" x14ac:dyDescent="0.3">
      <c r="B63" s="6" t="s">
        <v>4</v>
      </c>
      <c r="C63" s="5">
        <v>311</v>
      </c>
    </row>
    <row r="64" spans="2:9" x14ac:dyDescent="0.3">
      <c r="B64" s="6" t="s">
        <v>5</v>
      </c>
      <c r="C64" s="5">
        <v>207</v>
      </c>
    </row>
    <row r="65" spans="2:3" x14ac:dyDescent="0.3">
      <c r="B65" s="6" t="s">
        <v>6</v>
      </c>
      <c r="C65" s="5">
        <v>120</v>
      </c>
    </row>
    <row r="66" spans="2:3" x14ac:dyDescent="0.3">
      <c r="B66" s="6" t="s">
        <v>7</v>
      </c>
      <c r="C66" s="5">
        <v>927</v>
      </c>
    </row>
    <row r="67" spans="2:3" x14ac:dyDescent="0.3">
      <c r="B67" s="6" t="s">
        <v>8</v>
      </c>
      <c r="C67" s="5">
        <v>661</v>
      </c>
    </row>
    <row r="68" spans="2:3" x14ac:dyDescent="0.3">
      <c r="B68" s="6" t="s">
        <v>9</v>
      </c>
      <c r="C68" s="5">
        <v>210</v>
      </c>
    </row>
    <row r="69" spans="2:3" x14ac:dyDescent="0.3">
      <c r="B69" s="6" t="s">
        <v>10</v>
      </c>
      <c r="C69" s="5">
        <v>1482</v>
      </c>
    </row>
    <row r="70" spans="2:3" x14ac:dyDescent="0.3">
      <c r="B70" s="6" t="s">
        <v>11</v>
      </c>
      <c r="C70" s="5">
        <v>274</v>
      </c>
    </row>
    <row r="71" spans="2:3" x14ac:dyDescent="0.3">
      <c r="B71" s="6" t="s">
        <v>12</v>
      </c>
      <c r="C71" s="5">
        <v>194</v>
      </c>
    </row>
    <row r="72" spans="2:3" x14ac:dyDescent="0.3">
      <c r="B72" s="6" t="s">
        <v>13</v>
      </c>
      <c r="C72" s="5">
        <v>117</v>
      </c>
    </row>
    <row r="73" spans="2:3" x14ac:dyDescent="0.3">
      <c r="B73" s="6" t="s">
        <v>14</v>
      </c>
      <c r="C73" s="5">
        <v>165</v>
      </c>
    </row>
    <row r="74" spans="2:3" x14ac:dyDescent="0.3">
      <c r="B74" s="6" t="s">
        <v>15</v>
      </c>
      <c r="C74" s="5">
        <v>1668</v>
      </c>
    </row>
    <row r="75" spans="2:3" x14ac:dyDescent="0.3">
      <c r="B75" s="6" t="s">
        <v>1</v>
      </c>
      <c r="C75" s="5">
        <v>634</v>
      </c>
    </row>
    <row r="76" spans="2:3" x14ac:dyDescent="0.3">
      <c r="B76" s="6" t="s">
        <v>2</v>
      </c>
      <c r="C76" s="5">
        <v>328</v>
      </c>
    </row>
    <row r="77" spans="2:3" x14ac:dyDescent="0.3">
      <c r="B77" s="6" t="s">
        <v>16</v>
      </c>
      <c r="C77" s="5">
        <v>311</v>
      </c>
    </row>
    <row r="78" spans="2:3" x14ac:dyDescent="0.3">
      <c r="B78" s="6" t="s">
        <v>17</v>
      </c>
      <c r="C78" s="5">
        <v>142</v>
      </c>
    </row>
    <row r="79" spans="2:3" x14ac:dyDescent="0.3">
      <c r="B79" s="6" t="s">
        <v>18</v>
      </c>
      <c r="C79" s="5">
        <v>242</v>
      </c>
    </row>
    <row r="80" spans="2:3" x14ac:dyDescent="0.3">
      <c r="B80" s="6" t="s">
        <v>19</v>
      </c>
      <c r="C80" s="5">
        <v>298</v>
      </c>
    </row>
    <row r="81" spans="2:3" x14ac:dyDescent="0.3">
      <c r="B81" s="6" t="s">
        <v>20</v>
      </c>
      <c r="C81" s="5">
        <v>666</v>
      </c>
    </row>
    <row r="82" spans="2:3" x14ac:dyDescent="0.3">
      <c r="B82" s="6" t="s">
        <v>21</v>
      </c>
      <c r="C82" s="5">
        <v>42024</v>
      </c>
    </row>
    <row r="83" spans="2:3" x14ac:dyDescent="0.3">
      <c r="B83" s="6" t="s">
        <v>22</v>
      </c>
      <c r="C83" s="5">
        <v>263</v>
      </c>
    </row>
    <row r="84" spans="2:3" x14ac:dyDescent="0.3">
      <c r="B84" s="6" t="s">
        <v>3</v>
      </c>
      <c r="C84" s="5">
        <v>342</v>
      </c>
    </row>
    <row r="85" spans="2:3" x14ac:dyDescent="0.3">
      <c r="B85" s="6" t="s">
        <v>23</v>
      </c>
      <c r="C85" s="5">
        <v>81</v>
      </c>
    </row>
    <row r="86" spans="2:3" x14ac:dyDescent="0.3">
      <c r="B86" s="6" t="s">
        <v>24</v>
      </c>
      <c r="C86" s="5">
        <v>95</v>
      </c>
    </row>
    <row r="87" spans="2:3" x14ac:dyDescent="0.3">
      <c r="B87" s="6" t="s">
        <v>25</v>
      </c>
      <c r="C87" s="5">
        <v>139</v>
      </c>
    </row>
    <row r="88" spans="2:3" x14ac:dyDescent="0.3">
      <c r="B88" s="6"/>
      <c r="C88" s="5">
        <v>11308</v>
      </c>
    </row>
  </sheetData>
  <mergeCells count="7">
    <mergeCell ref="B61:C61"/>
    <mergeCell ref="B2:C2"/>
    <mergeCell ref="E2:F2"/>
    <mergeCell ref="H2:I2"/>
    <mergeCell ref="B32:C32"/>
    <mergeCell ref="E32:F32"/>
    <mergeCell ref="H32:I3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최신 이용자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2025-04-01T06:00:34Z</dcterms:modified>
</cp:coreProperties>
</file>