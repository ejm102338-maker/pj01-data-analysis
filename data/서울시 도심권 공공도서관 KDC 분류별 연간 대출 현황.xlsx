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21600" windowHeight="8010"/>
  </bookViews>
  <sheets>
    <sheet name="자치구별" sheetId="8" r:id="rId1"/>
    <sheet name="전체" sheetId="1" state="hidden" r:id="rId2"/>
    <sheet name="마포구" sheetId="4" state="hidden" r:id="rId3"/>
    <sheet name="서대문구" sheetId="5" state="hidden" r:id="rId4"/>
    <sheet name="은평구" sheetId="6" state="hidden" r:id="rId5"/>
  </sheets>
  <calcPr calcId="152511"/>
</workbook>
</file>

<file path=xl/calcChain.xml><?xml version="1.0" encoding="utf-8"?>
<calcChain xmlns="http://schemas.openxmlformats.org/spreadsheetml/2006/main">
  <c r="O29" i="1" l="1"/>
  <c r="P28" i="1" s="1"/>
  <c r="L29" i="1"/>
  <c r="M21" i="1" s="1"/>
  <c r="I29" i="1"/>
  <c r="J25" i="1" s="1"/>
  <c r="P27" i="1"/>
  <c r="M27" i="1"/>
  <c r="J27" i="1"/>
  <c r="P26" i="1"/>
  <c r="M26" i="1"/>
  <c r="J26" i="1"/>
  <c r="P25" i="1"/>
  <c r="M25" i="1"/>
  <c r="P24" i="1"/>
  <c r="M24" i="1"/>
  <c r="J24" i="1"/>
  <c r="P23" i="1"/>
  <c r="M23" i="1"/>
  <c r="P22" i="1"/>
  <c r="M22" i="1"/>
  <c r="P20" i="1"/>
  <c r="M20" i="1"/>
  <c r="J20" i="1"/>
  <c r="P19" i="1"/>
  <c r="M19" i="1"/>
  <c r="J19" i="1"/>
  <c r="P18" i="1"/>
  <c r="M18" i="1"/>
  <c r="J18" i="1"/>
  <c r="O15" i="1"/>
  <c r="P13" i="1" s="1"/>
  <c r="L15" i="1"/>
  <c r="M11" i="1" s="1"/>
  <c r="I15" i="1"/>
  <c r="J14" i="1" s="1"/>
  <c r="P14" i="1"/>
  <c r="M14" i="1"/>
  <c r="P7" i="1"/>
  <c r="M7" i="1"/>
  <c r="O29" i="4"/>
  <c r="P25" i="4" s="1"/>
  <c r="L29" i="4"/>
  <c r="M21" i="4" s="1"/>
  <c r="I29" i="4"/>
  <c r="J25" i="4" s="1"/>
  <c r="P28" i="4"/>
  <c r="M28" i="4"/>
  <c r="J28" i="4"/>
  <c r="P27" i="4"/>
  <c r="M27" i="4"/>
  <c r="J27" i="4"/>
  <c r="P26" i="4"/>
  <c r="P21" i="4"/>
  <c r="P20" i="4"/>
  <c r="J20" i="4"/>
  <c r="P19" i="4"/>
  <c r="M19" i="4"/>
  <c r="J19" i="4"/>
  <c r="P18" i="4"/>
  <c r="M18" i="4"/>
  <c r="O15" i="4"/>
  <c r="P14" i="4" s="1"/>
  <c r="L15" i="4"/>
  <c r="M11" i="4" s="1"/>
  <c r="I15" i="4"/>
  <c r="J9" i="4" s="1"/>
  <c r="P13" i="4"/>
  <c r="M13" i="4"/>
  <c r="J13" i="4"/>
  <c r="P12" i="4"/>
  <c r="M12" i="4"/>
  <c r="J12" i="4"/>
  <c r="P11" i="4"/>
  <c r="J11" i="4"/>
  <c r="P10" i="4"/>
  <c r="M10" i="4"/>
  <c r="J10" i="4"/>
  <c r="P9" i="4"/>
  <c r="M9" i="4"/>
  <c r="P8" i="4"/>
  <c r="M8" i="4"/>
  <c r="P6" i="4"/>
  <c r="M6" i="4"/>
  <c r="J6" i="4"/>
  <c r="P5" i="4"/>
  <c r="M5" i="4"/>
  <c r="J5" i="4"/>
  <c r="P4" i="4"/>
  <c r="M4" i="4"/>
  <c r="J4" i="4"/>
  <c r="O29" i="5"/>
  <c r="P20" i="5" s="1"/>
  <c r="L29" i="5"/>
  <c r="M21" i="5" s="1"/>
  <c r="I29" i="5"/>
  <c r="J25" i="5" s="1"/>
  <c r="P28" i="5"/>
  <c r="M28" i="5"/>
  <c r="M22" i="5"/>
  <c r="P21" i="5"/>
  <c r="J21" i="5"/>
  <c r="O15" i="5"/>
  <c r="P11" i="5" s="1"/>
  <c r="L15" i="5"/>
  <c r="M7" i="5" s="1"/>
  <c r="I15" i="5"/>
  <c r="J7" i="5" s="1"/>
  <c r="P14" i="5"/>
  <c r="M14" i="5"/>
  <c r="J14" i="5"/>
  <c r="P13" i="5"/>
  <c r="M13" i="5"/>
  <c r="J13" i="5"/>
  <c r="P12" i="5"/>
  <c r="M12" i="5"/>
  <c r="P7" i="5"/>
  <c r="P6" i="5"/>
  <c r="M6" i="5"/>
  <c r="J6" i="5"/>
  <c r="P5" i="5"/>
  <c r="M5" i="5"/>
  <c r="J5" i="5"/>
  <c r="P4" i="5"/>
  <c r="M4" i="5"/>
  <c r="O29" i="6"/>
  <c r="P28" i="6" s="1"/>
  <c r="P25" i="6"/>
  <c r="P24" i="6"/>
  <c r="P21" i="6"/>
  <c r="P20" i="6"/>
  <c r="P19" i="6"/>
  <c r="P18" i="6"/>
  <c r="L29" i="6"/>
  <c r="M28" i="6" s="1"/>
  <c r="M26" i="6"/>
  <c r="M24" i="6"/>
  <c r="M23" i="6"/>
  <c r="M22" i="6"/>
  <c r="M21" i="6"/>
  <c r="M20" i="6"/>
  <c r="M19" i="6"/>
  <c r="M18" i="6"/>
  <c r="I29" i="6"/>
  <c r="J28" i="6" s="1"/>
  <c r="O15" i="6"/>
  <c r="P12" i="6" s="1"/>
  <c r="P14" i="6"/>
  <c r="P13" i="6"/>
  <c r="P10" i="6"/>
  <c r="P9" i="6"/>
  <c r="P8" i="6"/>
  <c r="P7" i="6"/>
  <c r="P6" i="6"/>
  <c r="P5" i="6"/>
  <c r="P4" i="6"/>
  <c r="L15" i="6"/>
  <c r="M8" i="6" s="1"/>
  <c r="M14" i="6"/>
  <c r="M13" i="6"/>
  <c r="M12" i="6"/>
  <c r="M11" i="6"/>
  <c r="M10" i="6"/>
  <c r="M9" i="6"/>
  <c r="I15" i="6"/>
  <c r="J5" i="6" s="1"/>
  <c r="P8" i="1" l="1"/>
  <c r="M23" i="5"/>
  <c r="J8" i="5"/>
  <c r="M24" i="5"/>
  <c r="M22" i="4"/>
  <c r="M10" i="1"/>
  <c r="P24" i="5"/>
  <c r="P8" i="5"/>
  <c r="M25" i="5"/>
  <c r="J23" i="4"/>
  <c r="M18" i="5"/>
  <c r="P23" i="4"/>
  <c r="J5" i="1"/>
  <c r="J28" i="1"/>
  <c r="J8" i="1"/>
  <c r="J23" i="5"/>
  <c r="P23" i="5"/>
  <c r="P9" i="1"/>
  <c r="J22" i="4"/>
  <c r="M8" i="5"/>
  <c r="P22" i="4"/>
  <c r="J4" i="1"/>
  <c r="M4" i="1"/>
  <c r="J11" i="1"/>
  <c r="J9" i="5"/>
  <c r="P25" i="5"/>
  <c r="M23" i="4"/>
  <c r="P4" i="1"/>
  <c r="P11" i="1"/>
  <c r="M9" i="5"/>
  <c r="P18" i="5"/>
  <c r="J26" i="5"/>
  <c r="J14" i="4"/>
  <c r="J12" i="1"/>
  <c r="P11" i="6"/>
  <c r="P22" i="6"/>
  <c r="P9" i="5"/>
  <c r="J19" i="5"/>
  <c r="M26" i="5"/>
  <c r="J7" i="4"/>
  <c r="M14" i="4"/>
  <c r="J24" i="4"/>
  <c r="M5" i="1"/>
  <c r="M12" i="1"/>
  <c r="J21" i="1"/>
  <c r="M28" i="1"/>
  <c r="M4" i="6"/>
  <c r="P23" i="6"/>
  <c r="J10" i="5"/>
  <c r="M19" i="5"/>
  <c r="P26" i="5"/>
  <c r="P7" i="4"/>
  <c r="M24" i="4"/>
  <c r="P5" i="1"/>
  <c r="P12" i="1"/>
  <c r="P21" i="1"/>
  <c r="P22" i="5"/>
  <c r="J9" i="1"/>
  <c r="J10" i="1"/>
  <c r="J18" i="5"/>
  <c r="M5" i="6"/>
  <c r="P19" i="5"/>
  <c r="P24" i="4"/>
  <c r="J13" i="1"/>
  <c r="J22" i="1"/>
  <c r="J20" i="5"/>
  <c r="M20" i="5"/>
  <c r="J22" i="5"/>
  <c r="M8" i="1"/>
  <c r="M9" i="1"/>
  <c r="J24" i="5"/>
  <c r="P10" i="1"/>
  <c r="M10" i="5"/>
  <c r="J27" i="5"/>
  <c r="J8" i="4"/>
  <c r="J6" i="1"/>
  <c r="M6" i="6"/>
  <c r="P10" i="5"/>
  <c r="M27" i="5"/>
  <c r="M6" i="1"/>
  <c r="M13" i="1"/>
  <c r="M7" i="6"/>
  <c r="P27" i="5"/>
  <c r="J26" i="4"/>
  <c r="P6" i="1"/>
  <c r="J27" i="6"/>
  <c r="J4" i="5"/>
  <c r="J12" i="5"/>
  <c r="J28" i="5"/>
  <c r="J18" i="4"/>
  <c r="M26" i="4"/>
  <c r="J7" i="1"/>
  <c r="J23" i="1"/>
  <c r="M20" i="4"/>
  <c r="M25" i="4"/>
  <c r="J21" i="4"/>
  <c r="M7" i="4"/>
  <c r="M11" i="5"/>
  <c r="J11" i="5"/>
  <c r="P26" i="6"/>
  <c r="P27" i="6"/>
  <c r="J20" i="6"/>
  <c r="J18" i="6"/>
  <c r="J19" i="6"/>
  <c r="J21" i="6"/>
  <c r="J23" i="6"/>
  <c r="J24" i="6"/>
  <c r="M25" i="6"/>
  <c r="J22" i="6"/>
  <c r="J25" i="6"/>
  <c r="J26" i="6"/>
  <c r="M27" i="6"/>
  <c r="J14" i="6"/>
  <c r="J12" i="6"/>
  <c r="J6" i="6"/>
  <c r="J4" i="6"/>
  <c r="J13" i="6"/>
  <c r="J11" i="6"/>
  <c r="J10" i="6"/>
  <c r="J9" i="6"/>
  <c r="J8" i="6"/>
  <c r="J7" i="6"/>
</calcChain>
</file>

<file path=xl/comments1.xml><?xml version="1.0" encoding="utf-8"?>
<comments xmlns="http://schemas.openxmlformats.org/spreadsheetml/2006/main">
  <authors>
    <author>만든 이</author>
  </authors>
  <commentList>
    <comment ref="F2" authorId="0" shapeId="0">
      <text>
        <r>
          <rPr>
            <sz val="9"/>
            <color indexed="81"/>
            <rFont val="Tahoma"/>
            <family val="2"/>
          </rPr>
          <t>SELECT DESCRIPTION, CNT, ROUND((CNT / SUM(CNT)OVER()) * 100, 2) AS PERCNT FROM (
  SELECT DESCRIPTION, SUM(CNT) AS CNT FROM (
   SELECT 
   CASE 
   WHEN SHELF_LOC_CODE_DESC LIKE '%</t>
        </r>
        <r>
          <rPr>
            <sz val="9"/>
            <color indexed="81"/>
            <rFont val="돋움"/>
            <family val="3"/>
            <charset val="129"/>
          </rPr>
          <t>보존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보존실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폐기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폐기실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파손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파손실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제적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제적실</t>
        </r>
        <r>
          <rPr>
            <sz val="9"/>
            <color indexed="81"/>
            <rFont val="Tahoma"/>
            <family val="2"/>
          </rPr>
          <t>'
   ELSE
   '</t>
        </r>
        <r>
          <rPr>
            <sz val="9"/>
            <color indexed="81"/>
            <rFont val="돋움"/>
            <family val="3"/>
            <charset val="129"/>
          </rPr>
          <t>자료실</t>
        </r>
        <r>
          <rPr>
            <sz val="9"/>
            <color indexed="81"/>
            <rFont val="Tahoma"/>
            <family val="2"/>
          </rPr>
          <t xml:space="preserve">'
   END AS DESCRIPTION, CNT
   FROM
   (
    SELECT SHELF_LOC_CODE_DESC, COUNT(1) AS CNT 
    FROM LS_WORK_T01 
    WHERE LOAN_DATE BETWEEN TO_DATE('2023/01/01', 'YYYY/MM/DD') AND TO_DATE('2023/12/31', 'YYYY/MM/DD') + 0.99999 AND STATUS IN ('0', '2', 'L', 'D', '1', 'R') 
    GROUP BY SHELF_LOC_CODE_DESC
   )
  )
  GROUP BY DESCRIPTION
 )ORDER BY 1;
</t>
        </r>
      </text>
    </comment>
    <comment ref="Q2" authorId="0" shapeId="0">
      <text>
        <r>
          <rPr>
            <sz val="9"/>
            <color indexed="81"/>
            <rFont val="돋움"/>
            <family val="3"/>
            <charset val="129"/>
          </rPr>
          <t xml:space="preserve">  SELECT DECODE(분류, '0', '총류', '1', '철학', '2', '종교', '3', '사회과학', '4', '자연과학', '5', '기술과학', '6', '예술', '7', '언어', '8', '문학', '9', '역사', NULL, '없음') AS 분류, CNT
  FROM
  (
   SELECT 분류, SUM(CNT) AS CNT
   FROM
   (
    SELECT SUBSTR(TRIM(CLASS_NO_FIX),1,1) AS 분류, COUNT(1) AS CNT 
    FROM LS_WORK_T01 
    WHERE LOAN_DATE BETWEEN TO_DATE('2018/01/01', 'YYYY/MM/DD') AND TO_DATE('2018/12/31', 'YYYY/MM/DD') + 0.99999 AND STATUS IN ('0', '2', 'L', 'D', '1', 'R') 
    GROUP BY SUBSTR(TRIM(CLASS_NO_FIX),1,1)
   )
   GROUP BY 분류 
   ORDER BY 1
  );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F2" authorId="0" shapeId="0">
      <text>
        <r>
          <rPr>
            <sz val="9"/>
            <color indexed="81"/>
            <rFont val="Tahoma"/>
            <family val="2"/>
          </rPr>
          <t>SELECT DESCRIPTION, CNT, ROUND((CNT / SUM(CNT)OVER()) * 100, 2) AS PERCNT FROM (
  SELECT DESCRIPTION, SUM(CNT) AS CNT FROM (
   SELECT 
   CASE 
   WHEN SHELF_LOC_CODE_DESC LIKE '%</t>
        </r>
        <r>
          <rPr>
            <sz val="9"/>
            <color indexed="81"/>
            <rFont val="돋움"/>
            <family val="3"/>
            <charset val="129"/>
          </rPr>
          <t>보존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보존실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폐기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폐기실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파손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파손실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제적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제적실</t>
        </r>
        <r>
          <rPr>
            <sz val="9"/>
            <color indexed="81"/>
            <rFont val="Tahoma"/>
            <family val="2"/>
          </rPr>
          <t>'
   ELSE
   '</t>
        </r>
        <r>
          <rPr>
            <sz val="9"/>
            <color indexed="81"/>
            <rFont val="돋움"/>
            <family val="3"/>
            <charset val="129"/>
          </rPr>
          <t>자료실</t>
        </r>
        <r>
          <rPr>
            <sz val="9"/>
            <color indexed="81"/>
            <rFont val="Tahoma"/>
            <family val="2"/>
          </rPr>
          <t>'
   END AS DESCRIPTION, CNT
   FROM
   (
    SELECT SHELF_LOC_CODE_DESC, COUNT(1) AS CNT 
    FROM LS_WORK_T01 
    WHERE LOAN_DATE BETWEEN TO_DATE('2023/01/01', 'YYYY/MM/DD') AND TO_DATE('2023/12/31', 'YYYY/MM/DD') + 0.99999 AND STATUS IN ('0', '2', 'L', 'D', '1', 'R') 
    AND GROUP_REGION = '</t>
        </r>
        <r>
          <rPr>
            <sz val="9"/>
            <color indexed="81"/>
            <rFont val="돋움"/>
            <family val="3"/>
            <charset val="129"/>
          </rPr>
          <t>마포구</t>
        </r>
        <r>
          <rPr>
            <sz val="9"/>
            <color indexed="81"/>
            <rFont val="Tahoma"/>
            <family val="2"/>
          </rPr>
          <t>'
    GROUP BY SHELF_LOC_CODE_DESC
   )
  )
  GROUP BY DESCRIPTION
 )ORDER BY 1;</t>
        </r>
      </text>
    </comment>
    <comment ref="Q2" authorId="0" shapeId="0">
      <text>
        <r>
          <rPr>
            <sz val="9"/>
            <color indexed="81"/>
            <rFont val="돋움"/>
            <family val="3"/>
            <charset val="129"/>
          </rPr>
          <t xml:space="preserve">  SELECT DECODE(분류, '0', '총류', '1', '철학', '2', '종교', '3', '사회과학', '4', '자연과학', '5', '기술과학', '6', '예술', '7', '언어', '8', '문학', '9', '역사', NULL, '없음') AS 분류, CNT
  FROM
  (
   SELECT 분류, SUM(CNT) AS CNT
   FROM
   (
    SELECT SUBSTR(TRIM(CLASS_NO_FIX),1,1) AS 분류, COUNT(1) AS CNT 
    FROM LS_WORK_T01 
    WHERE LOAN_DATE BETWEEN TO_DATE('2018/01/01', 'YYYY/MM/DD') AND TO_DATE('2018/12/31', 'YYYY/MM/DD') + 0.99999 AND STATUS IN ('0', '2', 'L', 'D', '1', 'R') 
    AND GROUP_REGION = '마포구'
    GROUP BY SUBSTR(TRIM(CLASS_NO_FIX),1,1)
   )
   GROUP BY 분류 
   ORDER BY 1
  );</t>
        </r>
      </text>
    </comment>
  </commentList>
</comments>
</file>

<file path=xl/comments3.xml><?xml version="1.0" encoding="utf-8"?>
<comments xmlns="http://schemas.openxmlformats.org/spreadsheetml/2006/main">
  <authors>
    <author>만든 이</author>
  </authors>
  <commentList>
    <comment ref="F2" authorId="0" shapeId="0">
      <text>
        <r>
          <rPr>
            <sz val="9"/>
            <color indexed="81"/>
            <rFont val="Tahoma"/>
            <family val="2"/>
          </rPr>
          <t>SELECT DESCRIPTION, CNT, ROUND((CNT / SUM(CNT)OVER()) * 100, 2) AS PERCNT FROM (
  SELECT DESCRIPTION, SUM(CNT) AS CNT FROM (
   SELECT 
   CASE 
   WHEN SHELF_LOC_CODE_DESC LIKE '%</t>
        </r>
        <r>
          <rPr>
            <sz val="9"/>
            <color indexed="81"/>
            <rFont val="돋움"/>
            <family val="3"/>
            <charset val="129"/>
          </rPr>
          <t>보존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보존실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폐기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폐기실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파손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파손실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제적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제적실</t>
        </r>
        <r>
          <rPr>
            <sz val="9"/>
            <color indexed="81"/>
            <rFont val="Tahoma"/>
            <family val="2"/>
          </rPr>
          <t>'
   ELSE
   '</t>
        </r>
        <r>
          <rPr>
            <sz val="9"/>
            <color indexed="81"/>
            <rFont val="돋움"/>
            <family val="3"/>
            <charset val="129"/>
          </rPr>
          <t>자료실</t>
        </r>
        <r>
          <rPr>
            <sz val="9"/>
            <color indexed="81"/>
            <rFont val="Tahoma"/>
            <family val="2"/>
          </rPr>
          <t>'
   END AS DESCRIPTION, CNT
   FROM
   (
    SELECT SHELF_LOC_CODE_DESC, COUNT(1) AS CNT 
    FROM LS_WORK_T01 
    WHERE LOAN_DATE BETWEEN TO_DATE('2023/01/01', 'YYYY/MM/DD') AND TO_DATE('2023/12/31', 'YYYY/MM/DD') + 0.99999 AND STATUS IN ('0', '2', 'L', 'D', '1', 'R') 
    AND GROUP_REGION = '</t>
        </r>
        <r>
          <rPr>
            <sz val="9"/>
            <color indexed="81"/>
            <rFont val="돋움"/>
            <family val="3"/>
            <charset val="129"/>
          </rPr>
          <t>서대문구</t>
        </r>
        <r>
          <rPr>
            <sz val="9"/>
            <color indexed="81"/>
            <rFont val="Tahoma"/>
            <family val="2"/>
          </rPr>
          <t>'
    GROUP BY SHELF_LOC_CODE_DESC
   )
  )
  GROUP BY DESCRIPTION
 )ORDER BY 1;</t>
        </r>
      </text>
    </comment>
    <comment ref="Q2" authorId="0" shapeId="0">
      <text>
        <r>
          <rPr>
            <sz val="9"/>
            <color indexed="81"/>
            <rFont val="돋움"/>
            <family val="3"/>
            <charset val="129"/>
          </rPr>
          <t xml:space="preserve">  SELECT DECODE(분류, '0', '총류', '1', '철학', '2', '종교', '3', '사회과학', '4', '자연과학', '5', '기술과학', '6', '예술', '7', '언어', '8', '문학', '9', '역사', NULL, '없음') AS 분류, CNT
  FROM
  (
   SELECT 분류, SUM(CNT) AS CNT
   FROM
   (
    SELECT SUBSTR(TRIM(CLASS_NO_FIX),1,1) AS 분류, COUNT(1) AS CNT 
    FROM LS_WORK_T01 
    WHERE LOAN_DATE BETWEEN TO_DATE('2018/01/01', 'YYYY/MM/DD') AND TO_DATE('2018/12/31', 'YYYY/MM/DD') + 0.99999 AND STATUS IN ('0', '2', 'L', 'D', '1', 'R') 
    AND GROUP_REGION = '서대문구'
    GROUP BY SUBSTR(TRIM(CLASS_NO_FIX),1,1)
   )
   GROUP BY 분류 
   ORDER BY 1
  );</t>
        </r>
      </text>
    </comment>
  </commentList>
</comments>
</file>

<file path=xl/comments4.xml><?xml version="1.0" encoding="utf-8"?>
<comments xmlns="http://schemas.openxmlformats.org/spreadsheetml/2006/main">
  <authors>
    <author>만든 이</author>
  </authors>
  <commentList>
    <comment ref="F2" authorId="0" shapeId="0">
      <text>
        <r>
          <rPr>
            <sz val="9"/>
            <color indexed="81"/>
            <rFont val="Tahoma"/>
            <family val="2"/>
          </rPr>
          <t>SELECT DESCRIPTION, CNT, ROUND((CNT / SUM(CNT)OVER()) * 100, 2) AS PERCNT FROM (
  SELECT DESCRIPTION, SUM(CNT) AS CNT FROM (
   SELECT 
   CASE 
   WHEN SHELF_LOC_CODE_DESC LIKE '%</t>
        </r>
        <r>
          <rPr>
            <sz val="9"/>
            <color indexed="81"/>
            <rFont val="돋움"/>
            <family val="3"/>
            <charset val="129"/>
          </rPr>
          <t>보존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보존실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폐기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폐기실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파손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파손실</t>
        </r>
        <r>
          <rPr>
            <sz val="9"/>
            <color indexed="81"/>
            <rFont val="Tahoma"/>
            <family val="2"/>
          </rPr>
          <t>'
   WHEN SHELF_LOC_CODE_DESC LIKE '%</t>
        </r>
        <r>
          <rPr>
            <sz val="9"/>
            <color indexed="81"/>
            <rFont val="돋움"/>
            <family val="3"/>
            <charset val="129"/>
          </rPr>
          <t>제적</t>
        </r>
        <r>
          <rPr>
            <sz val="9"/>
            <color indexed="81"/>
            <rFont val="Tahoma"/>
            <family val="2"/>
          </rPr>
          <t>%' THEN
   '</t>
        </r>
        <r>
          <rPr>
            <sz val="9"/>
            <color indexed="81"/>
            <rFont val="돋움"/>
            <family val="3"/>
            <charset val="129"/>
          </rPr>
          <t>제적실</t>
        </r>
        <r>
          <rPr>
            <sz val="9"/>
            <color indexed="81"/>
            <rFont val="Tahoma"/>
            <family val="2"/>
          </rPr>
          <t>'
   ELSE
   '</t>
        </r>
        <r>
          <rPr>
            <sz val="9"/>
            <color indexed="81"/>
            <rFont val="돋움"/>
            <family val="3"/>
            <charset val="129"/>
          </rPr>
          <t>자료실</t>
        </r>
        <r>
          <rPr>
            <sz val="9"/>
            <color indexed="81"/>
            <rFont val="Tahoma"/>
            <family val="2"/>
          </rPr>
          <t>'
   END AS DESCRIPTION, CNT
   FROM
   (
    SELECT SHELF_LOC_CODE_DESC, COUNT(1) AS CNT 
    FROM LS_WORK_T01 
    WHERE LOAN_DATE BETWEEN TO_DATE('2023/01/01', 'YYYY/MM/DD') AND TO_DATE('2023/12/31', 'YYYY/MM/DD') + 0.99999 AND STATUS IN ('0', '2', 'L', 'D', '1', 'R') 
    AND GROUP_REGION = '</t>
        </r>
        <r>
          <rPr>
            <sz val="9"/>
            <color indexed="81"/>
            <rFont val="돋움"/>
            <family val="3"/>
            <charset val="129"/>
          </rPr>
          <t>은평구</t>
        </r>
        <r>
          <rPr>
            <sz val="9"/>
            <color indexed="81"/>
            <rFont val="Tahoma"/>
            <family val="2"/>
          </rPr>
          <t>'
    GROUP BY SHELF_LOC_CODE_DESC
   )
  )
  GROUP BY DESCRIPTION
 )ORDER BY 1;</t>
        </r>
      </text>
    </comment>
    <comment ref="Q2" authorId="0" shapeId="0">
      <text>
        <r>
          <rPr>
            <sz val="9"/>
            <color indexed="81"/>
            <rFont val="돋움"/>
            <family val="3"/>
            <charset val="129"/>
          </rPr>
          <t xml:space="preserve">  SELECT DECODE(분류, '0', '총류', '1', '철학', '2', '종교', '3', '사회과학', '4', '자연과학', '5', '기술과학', '6', '예술', '7', '언어', '8', '문학', '9', '역사', NULL, '없음') AS 분류, CNT
  FROM
  (
   SELECT 분류, SUM(CNT) AS CNT
   FROM
   (
    SELECT SUBSTR(TRIM(CLASS_NO_FIX),1,1) AS 분류, COUNT(1) AS CNT 
    FROM LS_WORK_T01 
    WHERE LOAN_DATE BETWEEN TO_DATE('2018/01/01', 'YYYY/MM/DD') AND TO_DATE('2018/12/31', 'YYYY/MM/DD') + 0.99999 AND STATUS IN ('0', '2', 'L', 'D', '1', 'R') 
    AND GROUP_REGION = '은평구'
    GROUP BY SUBSTR(TRIM(CLASS_NO_FIX),1,1)
   )
   GROUP BY 분류 
   ORDER BY 1
  );</t>
        </r>
      </text>
    </comment>
  </commentList>
</comments>
</file>

<file path=xl/sharedStrings.xml><?xml version="1.0" encoding="utf-8"?>
<sst xmlns="http://schemas.openxmlformats.org/spreadsheetml/2006/main" count="528" uniqueCount="40">
  <si>
    <t>자료실종류</t>
    <phoneticPr fontId="1" type="noConversion"/>
  </si>
  <si>
    <t>건수</t>
    <phoneticPr fontId="1" type="noConversion"/>
  </si>
  <si>
    <t>보존실</t>
  </si>
  <si>
    <t>자료실</t>
  </si>
  <si>
    <t>제적실</t>
  </si>
  <si>
    <t>폐기실</t>
  </si>
  <si>
    <t>년도</t>
    <phoneticPr fontId="1" type="noConversion"/>
  </si>
  <si>
    <t>비율</t>
    <phoneticPr fontId="1" type="noConversion"/>
  </si>
  <si>
    <t>총류</t>
  </si>
  <si>
    <t>철학</t>
  </si>
  <si>
    <t>종교</t>
  </si>
  <si>
    <t>사회과학</t>
  </si>
  <si>
    <t>자연과학</t>
  </si>
  <si>
    <t>기술과학</t>
  </si>
  <si>
    <t>예술</t>
  </si>
  <si>
    <t>언어</t>
  </si>
  <si>
    <t>문학</t>
  </si>
  <si>
    <t>역사</t>
  </si>
  <si>
    <t>분류</t>
    <phoneticPr fontId="1" type="noConversion"/>
  </si>
  <si>
    <t>건수</t>
    <phoneticPr fontId="1" type="noConversion"/>
  </si>
  <si>
    <t>없음</t>
  </si>
  <si>
    <t>비율</t>
    <phoneticPr fontId="1" type="noConversion"/>
  </si>
  <si>
    <t>2018년도</t>
    <phoneticPr fontId="1" type="noConversion"/>
  </si>
  <si>
    <t>2019년도</t>
    <phoneticPr fontId="1" type="noConversion"/>
  </si>
  <si>
    <t>2020년도</t>
    <phoneticPr fontId="1" type="noConversion"/>
  </si>
  <si>
    <t>2021년도</t>
    <phoneticPr fontId="1" type="noConversion"/>
  </si>
  <si>
    <t>2022년도</t>
    <phoneticPr fontId="1" type="noConversion"/>
  </si>
  <si>
    <t>2023년도</t>
    <phoneticPr fontId="1" type="noConversion"/>
  </si>
  <si>
    <t>총류</t>
    <phoneticPr fontId="1" type="noConversion"/>
  </si>
  <si>
    <t>책건수</t>
    <phoneticPr fontId="1" type="noConversion"/>
  </si>
  <si>
    <t>종비율</t>
    <phoneticPr fontId="1" type="noConversion"/>
  </si>
  <si>
    <t>책비율</t>
    <phoneticPr fontId="1" type="noConversion"/>
  </si>
  <si>
    <t>대출건수비율</t>
    <phoneticPr fontId="1" type="noConversion"/>
  </si>
  <si>
    <t>대출건수</t>
    <phoneticPr fontId="1" type="noConversion"/>
  </si>
  <si>
    <t>분류</t>
    <phoneticPr fontId="1" type="noConversion"/>
  </si>
  <si>
    <t>종건수</t>
    <phoneticPr fontId="1" type="noConversion"/>
  </si>
  <si>
    <t>자치구</t>
    <phoneticPr fontId="1" type="noConversion"/>
  </si>
  <si>
    <t>용산구</t>
  </si>
  <si>
    <t>중구</t>
  </si>
  <si>
    <t>종로구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</si>
</sst>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);[Red]\(#,##0\)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6" fontId="0" fillId="0" borderId="1" xfId="0" applyNumberFormat="1" applyBorder="1"/>
    <xf numFmtId="176" fontId="0" fillId="0" borderId="2" xfId="0" applyNumberFormat="1" applyBorder="1"/>
    <xf numFmtId="176" fontId="0" fillId="0" borderId="4" xfId="0" applyNumberFormat="1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applyBorder="1"/>
    <xf numFmtId="176" fontId="0" fillId="0" borderId="0" xfId="0" applyNumberFormat="1" applyBorder="1"/>
    <xf numFmtId="0" fontId="0" fillId="0" borderId="5" xfId="0" applyBorder="1"/>
    <xf numFmtId="0" fontId="2" fillId="2" borderId="6" xfId="0" applyFont="1" applyFill="1" applyBorder="1" applyAlignment="1">
      <alignment horizontal="center"/>
    </xf>
    <xf numFmtId="0" fontId="0" fillId="0" borderId="6" xfId="0" applyBorder="1"/>
    <xf numFmtId="0" fontId="0" fillId="0" borderId="10" xfId="0" applyBorder="1"/>
    <xf numFmtId="176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177" fontId="0" fillId="0" borderId="0" xfId="0" applyNumberFormat="1"/>
    <xf numFmtId="177" fontId="2" fillId="2" borderId="1" xfId="0" applyNumberFormat="1" applyFont="1" applyFill="1" applyBorder="1" applyAlignment="1">
      <alignment horizontal="center"/>
    </xf>
    <xf numFmtId="177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36"/>
  <sheetViews>
    <sheetView tabSelected="1" workbookViewId="0"/>
  </sheetViews>
  <sheetFormatPr defaultRowHeight="16.5" x14ac:dyDescent="0.3"/>
  <cols>
    <col min="3" max="5" width="13" style="24" customWidth="1"/>
    <col min="6" max="8" width="13" customWidth="1"/>
    <col min="9" max="11" width="13" style="24" customWidth="1"/>
    <col min="12" max="14" width="13" customWidth="1"/>
    <col min="15" max="17" width="13" style="24" customWidth="1"/>
    <col min="18" max="20" width="13" customWidth="1"/>
    <col min="21" max="23" width="13" style="24" customWidth="1"/>
    <col min="24" max="26" width="13" customWidth="1"/>
    <col min="27" max="29" width="13" style="24" customWidth="1"/>
    <col min="30" max="32" width="13" customWidth="1"/>
    <col min="33" max="35" width="13" style="24" customWidth="1"/>
    <col min="36" max="38" width="13" customWidth="1"/>
  </cols>
  <sheetData>
    <row r="2" spans="1:38" x14ac:dyDescent="0.3">
      <c r="C2" s="27">
        <v>2018</v>
      </c>
      <c r="D2" s="27"/>
      <c r="E2" s="27"/>
      <c r="F2" s="27"/>
      <c r="G2" s="27"/>
      <c r="H2" s="27"/>
      <c r="I2" s="27">
        <v>2019</v>
      </c>
      <c r="J2" s="27"/>
      <c r="K2" s="27"/>
      <c r="L2" s="27"/>
      <c r="M2" s="27"/>
      <c r="N2" s="27"/>
      <c r="O2" s="27">
        <v>2020</v>
      </c>
      <c r="P2" s="27"/>
      <c r="Q2" s="27"/>
      <c r="R2" s="27"/>
      <c r="S2" s="27"/>
      <c r="T2" s="27"/>
      <c r="U2" s="27">
        <v>2021</v>
      </c>
      <c r="V2" s="27"/>
      <c r="W2" s="27"/>
      <c r="X2" s="27"/>
      <c r="Y2" s="27"/>
      <c r="Z2" s="27"/>
      <c r="AA2" s="27">
        <v>2022</v>
      </c>
      <c r="AB2" s="27"/>
      <c r="AC2" s="27"/>
      <c r="AD2" s="27"/>
      <c r="AE2" s="27"/>
      <c r="AF2" s="27"/>
      <c r="AG2" s="27">
        <v>2023</v>
      </c>
      <c r="AH2" s="27"/>
      <c r="AI2" s="27"/>
      <c r="AJ2" s="27"/>
      <c r="AK2" s="27"/>
      <c r="AL2" s="27"/>
    </row>
    <row r="3" spans="1:38" x14ac:dyDescent="0.3">
      <c r="A3" s="5" t="s">
        <v>36</v>
      </c>
      <c r="B3" s="5" t="s">
        <v>34</v>
      </c>
      <c r="C3" s="25" t="s">
        <v>35</v>
      </c>
      <c r="D3" s="25" t="s">
        <v>29</v>
      </c>
      <c r="E3" s="25" t="s">
        <v>33</v>
      </c>
      <c r="F3" s="5" t="s">
        <v>30</v>
      </c>
      <c r="G3" s="5" t="s">
        <v>31</v>
      </c>
      <c r="H3" s="5" t="s">
        <v>32</v>
      </c>
      <c r="I3" s="25" t="s">
        <v>35</v>
      </c>
      <c r="J3" s="25" t="s">
        <v>29</v>
      </c>
      <c r="K3" s="25" t="s">
        <v>33</v>
      </c>
      <c r="L3" s="5" t="s">
        <v>30</v>
      </c>
      <c r="M3" s="5" t="s">
        <v>31</v>
      </c>
      <c r="N3" s="5" t="s">
        <v>32</v>
      </c>
      <c r="O3" s="25" t="s">
        <v>35</v>
      </c>
      <c r="P3" s="25" t="s">
        <v>29</v>
      </c>
      <c r="Q3" s="25" t="s">
        <v>33</v>
      </c>
      <c r="R3" s="5" t="s">
        <v>30</v>
      </c>
      <c r="S3" s="5" t="s">
        <v>31</v>
      </c>
      <c r="T3" s="5" t="s">
        <v>32</v>
      </c>
      <c r="U3" s="25" t="s">
        <v>35</v>
      </c>
      <c r="V3" s="25" t="s">
        <v>29</v>
      </c>
      <c r="W3" s="25" t="s">
        <v>33</v>
      </c>
      <c r="X3" s="5" t="s">
        <v>30</v>
      </c>
      <c r="Y3" s="5" t="s">
        <v>31</v>
      </c>
      <c r="Z3" s="5" t="s">
        <v>32</v>
      </c>
      <c r="AA3" s="25" t="s">
        <v>35</v>
      </c>
      <c r="AB3" s="25" t="s">
        <v>29</v>
      </c>
      <c r="AC3" s="25" t="s">
        <v>33</v>
      </c>
      <c r="AD3" s="5" t="s">
        <v>30</v>
      </c>
      <c r="AE3" s="5" t="s">
        <v>31</v>
      </c>
      <c r="AF3" s="5" t="s">
        <v>32</v>
      </c>
      <c r="AG3" s="25" t="s">
        <v>35</v>
      </c>
      <c r="AH3" s="25" t="s">
        <v>29</v>
      </c>
      <c r="AI3" s="25" t="s">
        <v>33</v>
      </c>
      <c r="AJ3" s="5" t="s">
        <v>30</v>
      </c>
      <c r="AK3" s="5" t="s">
        <v>31</v>
      </c>
      <c r="AL3" s="5" t="s">
        <v>32</v>
      </c>
    </row>
    <row r="4" spans="1:38" x14ac:dyDescent="0.3">
      <c r="A4" s="28" t="s">
        <v>37</v>
      </c>
      <c r="B4" s="23" t="s">
        <v>8</v>
      </c>
      <c r="C4" s="26">
        <v>1238</v>
      </c>
      <c r="D4" s="26">
        <v>1301</v>
      </c>
      <c r="E4" s="26">
        <v>5755</v>
      </c>
      <c r="F4" s="23">
        <v>3.91</v>
      </c>
      <c r="G4" s="23">
        <v>4</v>
      </c>
      <c r="H4" s="23">
        <v>4.38</v>
      </c>
      <c r="I4" s="26">
        <v>1311</v>
      </c>
      <c r="J4" s="26">
        <v>1353</v>
      </c>
      <c r="K4" s="26">
        <v>5704</v>
      </c>
      <c r="L4" s="23">
        <v>3.74</v>
      </c>
      <c r="M4" s="23">
        <v>3.54</v>
      </c>
      <c r="N4" s="23">
        <v>3.9</v>
      </c>
      <c r="O4" s="26">
        <v>1077</v>
      </c>
      <c r="P4" s="26">
        <v>1105</v>
      </c>
      <c r="Q4" s="26">
        <v>2544</v>
      </c>
      <c r="R4" s="23">
        <v>3.44</v>
      </c>
      <c r="S4" s="23">
        <v>3.37</v>
      </c>
      <c r="T4" s="23">
        <v>3.24</v>
      </c>
      <c r="U4" s="26">
        <v>1332</v>
      </c>
      <c r="V4" s="26">
        <v>1359</v>
      </c>
      <c r="W4" s="26">
        <v>3846</v>
      </c>
      <c r="X4" s="23">
        <v>3.28</v>
      </c>
      <c r="Y4" s="23">
        <v>3.27</v>
      </c>
      <c r="Z4" s="23">
        <v>2.69</v>
      </c>
      <c r="AA4" s="26">
        <v>1683</v>
      </c>
      <c r="AB4" s="26">
        <v>1705</v>
      </c>
      <c r="AC4" s="26">
        <v>5942</v>
      </c>
      <c r="AD4" s="23">
        <v>3.57</v>
      </c>
      <c r="AE4" s="23">
        <v>3.56</v>
      </c>
      <c r="AF4" s="23">
        <v>3.07</v>
      </c>
      <c r="AG4" s="26">
        <v>1585</v>
      </c>
      <c r="AH4" s="26">
        <v>1610</v>
      </c>
      <c r="AI4" s="26">
        <v>4986</v>
      </c>
      <c r="AJ4" s="23">
        <v>3.23</v>
      </c>
      <c r="AK4" s="23">
        <v>3.23</v>
      </c>
      <c r="AL4" s="23">
        <v>2.78</v>
      </c>
    </row>
    <row r="5" spans="1:38" x14ac:dyDescent="0.3">
      <c r="A5" s="29"/>
      <c r="B5" s="23" t="s">
        <v>9</v>
      </c>
      <c r="C5" s="26">
        <v>1628</v>
      </c>
      <c r="D5" s="26">
        <v>1663</v>
      </c>
      <c r="E5" s="26">
        <v>5125</v>
      </c>
      <c r="F5" s="23">
        <v>5.14</v>
      </c>
      <c r="G5" s="23">
        <v>5.1100000000000003</v>
      </c>
      <c r="H5" s="23">
        <v>3.9</v>
      </c>
      <c r="I5" s="26">
        <v>1823</v>
      </c>
      <c r="J5" s="26">
        <v>1841</v>
      </c>
      <c r="K5" s="26">
        <v>6273</v>
      </c>
      <c r="L5" s="23">
        <v>5.21</v>
      </c>
      <c r="M5" s="23">
        <v>4.82</v>
      </c>
      <c r="N5" s="23">
        <v>4.29</v>
      </c>
      <c r="O5" s="26">
        <v>1466</v>
      </c>
      <c r="P5" s="26">
        <v>1472</v>
      </c>
      <c r="Q5" s="26">
        <v>2881</v>
      </c>
      <c r="R5" s="23">
        <v>4.6900000000000004</v>
      </c>
      <c r="S5" s="23">
        <v>4.49</v>
      </c>
      <c r="T5" s="23">
        <v>3.66</v>
      </c>
      <c r="U5" s="26">
        <v>1895</v>
      </c>
      <c r="V5" s="26">
        <v>1908</v>
      </c>
      <c r="W5" s="26">
        <v>4797</v>
      </c>
      <c r="X5" s="23">
        <v>4.67</v>
      </c>
      <c r="Y5" s="23">
        <v>4.59</v>
      </c>
      <c r="Z5" s="23">
        <v>3.35</v>
      </c>
      <c r="AA5" s="26">
        <v>2219</v>
      </c>
      <c r="AB5" s="26">
        <v>2233</v>
      </c>
      <c r="AC5" s="26">
        <v>7452</v>
      </c>
      <c r="AD5" s="23">
        <v>4.7</v>
      </c>
      <c r="AE5" s="23">
        <v>4.66</v>
      </c>
      <c r="AF5" s="23">
        <v>3.85</v>
      </c>
      <c r="AG5" s="26">
        <v>2505</v>
      </c>
      <c r="AH5" s="26">
        <v>2526</v>
      </c>
      <c r="AI5" s="26">
        <v>8017</v>
      </c>
      <c r="AJ5" s="23">
        <v>5.0999999999999996</v>
      </c>
      <c r="AK5" s="23">
        <v>5.0599999999999996</v>
      </c>
      <c r="AL5" s="23">
        <v>4.4800000000000004</v>
      </c>
    </row>
    <row r="6" spans="1:38" x14ac:dyDescent="0.3">
      <c r="A6" s="29"/>
      <c r="B6" s="23" t="s">
        <v>10</v>
      </c>
      <c r="C6" s="26">
        <v>515</v>
      </c>
      <c r="D6" s="26">
        <v>521</v>
      </c>
      <c r="E6" s="26">
        <v>1795</v>
      </c>
      <c r="F6" s="23">
        <v>1.62</v>
      </c>
      <c r="G6" s="23">
        <v>1.6</v>
      </c>
      <c r="H6" s="23">
        <v>1.37</v>
      </c>
      <c r="I6" s="26">
        <v>545</v>
      </c>
      <c r="J6" s="26">
        <v>551</v>
      </c>
      <c r="K6" s="26">
        <v>2013</v>
      </c>
      <c r="L6" s="23">
        <v>1.56</v>
      </c>
      <c r="M6" s="23">
        <v>1.44</v>
      </c>
      <c r="N6" s="23">
        <v>1.38</v>
      </c>
      <c r="O6" s="26">
        <v>371</v>
      </c>
      <c r="P6" s="26">
        <v>376</v>
      </c>
      <c r="Q6" s="26">
        <v>919</v>
      </c>
      <c r="R6" s="23">
        <v>1.19</v>
      </c>
      <c r="S6" s="23">
        <v>1.1499999999999999</v>
      </c>
      <c r="T6" s="23">
        <v>1.17</v>
      </c>
      <c r="U6" s="26">
        <v>425</v>
      </c>
      <c r="V6" s="26">
        <v>427</v>
      </c>
      <c r="W6" s="26">
        <v>1455</v>
      </c>
      <c r="X6" s="23">
        <v>1.05</v>
      </c>
      <c r="Y6" s="23">
        <v>1.03</v>
      </c>
      <c r="Z6" s="23">
        <v>1.02</v>
      </c>
      <c r="AA6" s="26">
        <v>519</v>
      </c>
      <c r="AB6" s="26">
        <v>521</v>
      </c>
      <c r="AC6" s="26">
        <v>2265</v>
      </c>
      <c r="AD6" s="23">
        <v>1.1000000000000001</v>
      </c>
      <c r="AE6" s="23">
        <v>1.0900000000000001</v>
      </c>
      <c r="AF6" s="23">
        <v>1.17</v>
      </c>
      <c r="AG6" s="26">
        <v>533</v>
      </c>
      <c r="AH6" s="26">
        <v>536</v>
      </c>
      <c r="AI6" s="26">
        <v>2195</v>
      </c>
      <c r="AJ6" s="23">
        <v>1.0900000000000001</v>
      </c>
      <c r="AK6" s="23">
        <v>1.07</v>
      </c>
      <c r="AL6" s="23">
        <v>1.23</v>
      </c>
    </row>
    <row r="7" spans="1:38" x14ac:dyDescent="0.3">
      <c r="A7" s="29"/>
      <c r="B7" s="23" t="s">
        <v>11</v>
      </c>
      <c r="C7" s="26">
        <v>4485</v>
      </c>
      <c r="D7" s="26">
        <v>4597</v>
      </c>
      <c r="E7" s="26">
        <v>16936</v>
      </c>
      <c r="F7" s="23">
        <v>14.15</v>
      </c>
      <c r="G7" s="23">
        <v>14.12</v>
      </c>
      <c r="H7" s="23">
        <v>12.9</v>
      </c>
      <c r="I7" s="26">
        <v>4865</v>
      </c>
      <c r="J7" s="26">
        <v>4917</v>
      </c>
      <c r="K7" s="26">
        <v>17573</v>
      </c>
      <c r="L7" s="23">
        <v>13.89</v>
      </c>
      <c r="M7" s="23">
        <v>12.88</v>
      </c>
      <c r="N7" s="23">
        <v>12.01</v>
      </c>
      <c r="O7" s="26">
        <v>4306</v>
      </c>
      <c r="P7" s="26">
        <v>4343</v>
      </c>
      <c r="Q7" s="26">
        <v>9457</v>
      </c>
      <c r="R7" s="23">
        <v>13.76</v>
      </c>
      <c r="S7" s="23">
        <v>13.26</v>
      </c>
      <c r="T7" s="23">
        <v>12.03</v>
      </c>
      <c r="U7" s="26">
        <v>5720</v>
      </c>
      <c r="V7" s="26">
        <v>5771</v>
      </c>
      <c r="W7" s="26">
        <v>17977</v>
      </c>
      <c r="X7" s="23">
        <v>14.1</v>
      </c>
      <c r="Y7" s="23">
        <v>13.87</v>
      </c>
      <c r="Z7" s="23">
        <v>12.56</v>
      </c>
      <c r="AA7" s="26">
        <v>6765</v>
      </c>
      <c r="AB7" s="26">
        <v>6809</v>
      </c>
      <c r="AC7" s="26">
        <v>25840</v>
      </c>
      <c r="AD7" s="23">
        <v>14.34</v>
      </c>
      <c r="AE7" s="23">
        <v>14.2</v>
      </c>
      <c r="AF7" s="23">
        <v>13.35</v>
      </c>
      <c r="AG7" s="26">
        <v>6984</v>
      </c>
      <c r="AH7" s="26">
        <v>7041</v>
      </c>
      <c r="AI7" s="26">
        <v>24068</v>
      </c>
      <c r="AJ7" s="23">
        <v>14.22</v>
      </c>
      <c r="AK7" s="23">
        <v>14.11</v>
      </c>
      <c r="AL7" s="23">
        <v>13.44</v>
      </c>
    </row>
    <row r="8" spans="1:38" x14ac:dyDescent="0.3">
      <c r="A8" s="29"/>
      <c r="B8" s="23" t="s">
        <v>12</v>
      </c>
      <c r="C8" s="26">
        <v>2674</v>
      </c>
      <c r="D8" s="26">
        <v>2721</v>
      </c>
      <c r="E8" s="26">
        <v>15828</v>
      </c>
      <c r="F8" s="23">
        <v>8.44</v>
      </c>
      <c r="G8" s="23">
        <v>8.36</v>
      </c>
      <c r="H8" s="23">
        <v>12.05</v>
      </c>
      <c r="I8" s="26">
        <v>3072</v>
      </c>
      <c r="J8" s="26">
        <v>3097</v>
      </c>
      <c r="K8" s="26">
        <v>16944</v>
      </c>
      <c r="L8" s="23">
        <v>8.77</v>
      </c>
      <c r="M8" s="23">
        <v>8.11</v>
      </c>
      <c r="N8" s="23">
        <v>11.58</v>
      </c>
      <c r="O8" s="26">
        <v>2786</v>
      </c>
      <c r="P8" s="26">
        <v>2802</v>
      </c>
      <c r="Q8" s="26">
        <v>8447</v>
      </c>
      <c r="R8" s="23">
        <v>8.9</v>
      </c>
      <c r="S8" s="23">
        <v>8.5500000000000007</v>
      </c>
      <c r="T8" s="23">
        <v>10.75</v>
      </c>
      <c r="U8" s="26">
        <v>3523</v>
      </c>
      <c r="V8" s="26">
        <v>3551</v>
      </c>
      <c r="W8" s="26">
        <v>15443</v>
      </c>
      <c r="X8" s="23">
        <v>8.68</v>
      </c>
      <c r="Y8" s="23">
        <v>8.5399999999999991</v>
      </c>
      <c r="Z8" s="23">
        <v>10.79</v>
      </c>
      <c r="AA8" s="26">
        <v>3871</v>
      </c>
      <c r="AB8" s="26">
        <v>3901</v>
      </c>
      <c r="AC8" s="26">
        <v>20251</v>
      </c>
      <c r="AD8" s="23">
        <v>8.1999999999999993</v>
      </c>
      <c r="AE8" s="23">
        <v>8.14</v>
      </c>
      <c r="AF8" s="23">
        <v>10.46</v>
      </c>
      <c r="AG8" s="26">
        <v>3897</v>
      </c>
      <c r="AH8" s="26">
        <v>3913</v>
      </c>
      <c r="AI8" s="26">
        <v>16851</v>
      </c>
      <c r="AJ8" s="23">
        <v>7.94</v>
      </c>
      <c r="AK8" s="23">
        <v>7.84</v>
      </c>
      <c r="AL8" s="23">
        <v>9.41</v>
      </c>
    </row>
    <row r="9" spans="1:38" x14ac:dyDescent="0.3">
      <c r="A9" s="29"/>
      <c r="B9" s="23" t="s">
        <v>13</v>
      </c>
      <c r="C9" s="26">
        <v>1981</v>
      </c>
      <c r="D9" s="26">
        <v>2051</v>
      </c>
      <c r="E9" s="26">
        <v>7332</v>
      </c>
      <c r="F9" s="23">
        <v>6.25</v>
      </c>
      <c r="G9" s="23">
        <v>6.3</v>
      </c>
      <c r="H9" s="23">
        <v>5.58</v>
      </c>
      <c r="I9" s="26">
        <v>2306</v>
      </c>
      <c r="J9" s="26">
        <v>2359</v>
      </c>
      <c r="K9" s="26">
        <v>8189</v>
      </c>
      <c r="L9" s="23">
        <v>6.58</v>
      </c>
      <c r="M9" s="23">
        <v>6.18</v>
      </c>
      <c r="N9" s="23">
        <v>5.6</v>
      </c>
      <c r="O9" s="26">
        <v>2055</v>
      </c>
      <c r="P9" s="26">
        <v>2084</v>
      </c>
      <c r="Q9" s="26">
        <v>4193</v>
      </c>
      <c r="R9" s="23">
        <v>6.57</v>
      </c>
      <c r="S9" s="23">
        <v>6.36</v>
      </c>
      <c r="T9" s="23">
        <v>5.33</v>
      </c>
      <c r="U9" s="26">
        <v>2647</v>
      </c>
      <c r="V9" s="26">
        <v>2683</v>
      </c>
      <c r="W9" s="26">
        <v>7375</v>
      </c>
      <c r="X9" s="23">
        <v>6.52</v>
      </c>
      <c r="Y9" s="23">
        <v>6.45</v>
      </c>
      <c r="Z9" s="23">
        <v>5.15</v>
      </c>
      <c r="AA9" s="26">
        <v>2946</v>
      </c>
      <c r="AB9" s="26">
        <v>2982</v>
      </c>
      <c r="AC9" s="26">
        <v>9363</v>
      </c>
      <c r="AD9" s="23">
        <v>6.24</v>
      </c>
      <c r="AE9" s="23">
        <v>6.22</v>
      </c>
      <c r="AF9" s="23">
        <v>4.84</v>
      </c>
      <c r="AG9" s="26">
        <v>3274</v>
      </c>
      <c r="AH9" s="26">
        <v>3311</v>
      </c>
      <c r="AI9" s="26">
        <v>9647</v>
      </c>
      <c r="AJ9" s="23">
        <v>6.67</v>
      </c>
      <c r="AK9" s="23">
        <v>6.63</v>
      </c>
      <c r="AL9" s="23">
        <v>5.39</v>
      </c>
    </row>
    <row r="10" spans="1:38" x14ac:dyDescent="0.3">
      <c r="A10" s="29"/>
      <c r="B10" s="23" t="s">
        <v>14</v>
      </c>
      <c r="C10" s="26">
        <v>1585</v>
      </c>
      <c r="D10" s="26">
        <v>1610</v>
      </c>
      <c r="E10" s="26">
        <v>5116</v>
      </c>
      <c r="F10" s="23">
        <v>5</v>
      </c>
      <c r="G10" s="23">
        <v>4.95</v>
      </c>
      <c r="H10" s="23">
        <v>3.9</v>
      </c>
      <c r="I10" s="26">
        <v>1538</v>
      </c>
      <c r="J10" s="26">
        <v>1560</v>
      </c>
      <c r="K10" s="26">
        <v>4884</v>
      </c>
      <c r="L10" s="23">
        <v>4.3899999999999997</v>
      </c>
      <c r="M10" s="23">
        <v>4.09</v>
      </c>
      <c r="N10" s="23">
        <v>3.34</v>
      </c>
      <c r="O10" s="26">
        <v>1211</v>
      </c>
      <c r="P10" s="26">
        <v>1221</v>
      </c>
      <c r="Q10" s="26">
        <v>2239</v>
      </c>
      <c r="R10" s="23">
        <v>3.87</v>
      </c>
      <c r="S10" s="23">
        <v>3.73</v>
      </c>
      <c r="T10" s="23">
        <v>2.85</v>
      </c>
      <c r="U10" s="26">
        <v>1680</v>
      </c>
      <c r="V10" s="26">
        <v>1697</v>
      </c>
      <c r="W10" s="26">
        <v>3931</v>
      </c>
      <c r="X10" s="23">
        <v>4.1399999999999997</v>
      </c>
      <c r="Y10" s="23">
        <v>4.08</v>
      </c>
      <c r="Z10" s="23">
        <v>2.75</v>
      </c>
      <c r="AA10" s="26">
        <v>1863</v>
      </c>
      <c r="AB10" s="26">
        <v>1879</v>
      </c>
      <c r="AC10" s="26">
        <v>5290</v>
      </c>
      <c r="AD10" s="23">
        <v>3.95</v>
      </c>
      <c r="AE10" s="23">
        <v>3.92</v>
      </c>
      <c r="AF10" s="23">
        <v>2.73</v>
      </c>
      <c r="AG10" s="26">
        <v>1801</v>
      </c>
      <c r="AH10" s="26">
        <v>1818</v>
      </c>
      <c r="AI10" s="26">
        <v>4854</v>
      </c>
      <c r="AJ10" s="23">
        <v>3.67</v>
      </c>
      <c r="AK10" s="23">
        <v>3.64</v>
      </c>
      <c r="AL10" s="23">
        <v>2.71</v>
      </c>
    </row>
    <row r="11" spans="1:38" x14ac:dyDescent="0.3">
      <c r="A11" s="29"/>
      <c r="B11" s="23" t="s">
        <v>15</v>
      </c>
      <c r="C11" s="26">
        <v>737</v>
      </c>
      <c r="D11" s="26">
        <v>819</v>
      </c>
      <c r="E11" s="26">
        <v>4142</v>
      </c>
      <c r="F11" s="23">
        <v>2.3199999999999998</v>
      </c>
      <c r="G11" s="23">
        <v>2.52</v>
      </c>
      <c r="H11" s="23">
        <v>3.15</v>
      </c>
      <c r="I11" s="26">
        <v>820</v>
      </c>
      <c r="J11" s="26">
        <v>927</v>
      </c>
      <c r="K11" s="26">
        <v>4741</v>
      </c>
      <c r="L11" s="23">
        <v>2.34</v>
      </c>
      <c r="M11" s="23">
        <v>2.4300000000000002</v>
      </c>
      <c r="N11" s="23">
        <v>3.24</v>
      </c>
      <c r="O11" s="26">
        <v>654</v>
      </c>
      <c r="P11" s="26">
        <v>689</v>
      </c>
      <c r="Q11" s="26">
        <v>1945</v>
      </c>
      <c r="R11" s="23">
        <v>2.09</v>
      </c>
      <c r="S11" s="23">
        <v>2.1</v>
      </c>
      <c r="T11" s="23">
        <v>2.4700000000000002</v>
      </c>
      <c r="U11" s="26">
        <v>815</v>
      </c>
      <c r="V11" s="26">
        <v>864</v>
      </c>
      <c r="W11" s="26">
        <v>3531</v>
      </c>
      <c r="X11" s="23">
        <v>2.0099999999999998</v>
      </c>
      <c r="Y11" s="23">
        <v>2.08</v>
      </c>
      <c r="Z11" s="23">
        <v>2.4700000000000002</v>
      </c>
      <c r="AA11" s="26">
        <v>971</v>
      </c>
      <c r="AB11" s="26">
        <v>1018</v>
      </c>
      <c r="AC11" s="26">
        <v>4979</v>
      </c>
      <c r="AD11" s="23">
        <v>2.06</v>
      </c>
      <c r="AE11" s="23">
        <v>2.12</v>
      </c>
      <c r="AF11" s="23">
        <v>2.57</v>
      </c>
      <c r="AG11" s="26">
        <v>1088</v>
      </c>
      <c r="AH11" s="26">
        <v>1197</v>
      </c>
      <c r="AI11" s="26">
        <v>5328</v>
      </c>
      <c r="AJ11" s="23">
        <v>2.2200000000000002</v>
      </c>
      <c r="AK11" s="23">
        <v>2.4</v>
      </c>
      <c r="AL11" s="23">
        <v>2.97</v>
      </c>
    </row>
    <row r="12" spans="1:38" x14ac:dyDescent="0.3">
      <c r="A12" s="29"/>
      <c r="B12" s="23" t="s">
        <v>16</v>
      </c>
      <c r="C12" s="26">
        <v>14152</v>
      </c>
      <c r="D12" s="26">
        <v>14441</v>
      </c>
      <c r="E12" s="26">
        <v>55947</v>
      </c>
      <c r="F12" s="23">
        <v>44.64</v>
      </c>
      <c r="G12" s="23">
        <v>44.36</v>
      </c>
      <c r="H12" s="23">
        <v>42.6</v>
      </c>
      <c r="I12" s="26">
        <v>15795</v>
      </c>
      <c r="J12" s="26">
        <v>16005</v>
      </c>
      <c r="K12" s="26">
        <v>60780</v>
      </c>
      <c r="L12" s="23">
        <v>45.1</v>
      </c>
      <c r="M12" s="23">
        <v>41.92</v>
      </c>
      <c r="N12" s="23">
        <v>41.55</v>
      </c>
      <c r="O12" s="26">
        <v>14924</v>
      </c>
      <c r="P12" s="26">
        <v>15119</v>
      </c>
      <c r="Q12" s="26">
        <v>38647</v>
      </c>
      <c r="R12" s="23">
        <v>47.7</v>
      </c>
      <c r="S12" s="23">
        <v>46.16</v>
      </c>
      <c r="T12" s="23">
        <v>49.16</v>
      </c>
      <c r="U12" s="26">
        <v>19766</v>
      </c>
      <c r="V12" s="26">
        <v>20053</v>
      </c>
      <c r="W12" s="26">
        <v>74313</v>
      </c>
      <c r="X12" s="23">
        <v>48.72</v>
      </c>
      <c r="Y12" s="23">
        <v>48.21</v>
      </c>
      <c r="Z12" s="23">
        <v>51.94</v>
      </c>
      <c r="AA12" s="26">
        <v>22916</v>
      </c>
      <c r="AB12" s="26">
        <v>23230</v>
      </c>
      <c r="AC12" s="26">
        <v>97813</v>
      </c>
      <c r="AD12" s="23">
        <v>48.56</v>
      </c>
      <c r="AE12" s="23">
        <v>48.45</v>
      </c>
      <c r="AF12" s="23">
        <v>50.54</v>
      </c>
      <c r="AG12" s="26">
        <v>23830</v>
      </c>
      <c r="AH12" s="26">
        <v>24123</v>
      </c>
      <c r="AI12" s="26">
        <v>89138</v>
      </c>
      <c r="AJ12" s="23">
        <v>48.53</v>
      </c>
      <c r="AK12" s="23">
        <v>48.33</v>
      </c>
      <c r="AL12" s="23">
        <v>49.76</v>
      </c>
    </row>
    <row r="13" spans="1:38" x14ac:dyDescent="0.3">
      <c r="A13" s="29"/>
      <c r="B13" s="23" t="s">
        <v>17</v>
      </c>
      <c r="C13" s="26">
        <v>2704</v>
      </c>
      <c r="D13" s="26">
        <v>2756</v>
      </c>
      <c r="E13" s="26">
        <v>13268</v>
      </c>
      <c r="F13" s="23">
        <v>8.5299999999999994</v>
      </c>
      <c r="G13" s="23">
        <v>8.4700000000000006</v>
      </c>
      <c r="H13" s="23">
        <v>10.1</v>
      </c>
      <c r="I13" s="26">
        <v>2948</v>
      </c>
      <c r="J13" s="26">
        <v>3019</v>
      </c>
      <c r="K13" s="26">
        <v>14666</v>
      </c>
      <c r="L13" s="23">
        <v>8.42</v>
      </c>
      <c r="M13" s="23">
        <v>7.91</v>
      </c>
      <c r="N13" s="23">
        <v>10.029999999999999</v>
      </c>
      <c r="O13" s="26">
        <v>2435</v>
      </c>
      <c r="P13" s="26">
        <v>2461</v>
      </c>
      <c r="Q13" s="26">
        <v>6122</v>
      </c>
      <c r="R13" s="23">
        <v>7.78</v>
      </c>
      <c r="S13" s="23">
        <v>7.51</v>
      </c>
      <c r="T13" s="23">
        <v>7.79</v>
      </c>
      <c r="U13" s="26">
        <v>2770</v>
      </c>
      <c r="V13" s="26">
        <v>2796</v>
      </c>
      <c r="W13" s="26">
        <v>9844</v>
      </c>
      <c r="X13" s="23">
        <v>6.83</v>
      </c>
      <c r="Y13" s="23">
        <v>6.72</v>
      </c>
      <c r="Z13" s="23">
        <v>6.88</v>
      </c>
      <c r="AA13" s="26">
        <v>3435</v>
      </c>
      <c r="AB13" s="26">
        <v>3488</v>
      </c>
      <c r="AC13" s="26">
        <v>14027</v>
      </c>
      <c r="AD13" s="23">
        <v>7.28</v>
      </c>
      <c r="AE13" s="23">
        <v>7.27</v>
      </c>
      <c r="AF13" s="23">
        <v>7.25</v>
      </c>
      <c r="AG13" s="26">
        <v>3597</v>
      </c>
      <c r="AH13" s="26">
        <v>3664</v>
      </c>
      <c r="AI13" s="26">
        <v>13758</v>
      </c>
      <c r="AJ13" s="23">
        <v>7.33</v>
      </c>
      <c r="AK13" s="23">
        <v>7.34</v>
      </c>
      <c r="AL13" s="23">
        <v>7.68</v>
      </c>
    </row>
    <row r="14" spans="1:38" x14ac:dyDescent="0.3">
      <c r="A14" s="30"/>
      <c r="B14" s="23" t="s">
        <v>20</v>
      </c>
      <c r="C14" s="26">
        <v>1</v>
      </c>
      <c r="D14" s="26">
        <v>75</v>
      </c>
      <c r="E14" s="26">
        <v>90</v>
      </c>
      <c r="F14" s="23">
        <v>0</v>
      </c>
      <c r="G14" s="23">
        <v>0.23</v>
      </c>
      <c r="H14" s="23">
        <v>7.0000000000000007E-2</v>
      </c>
      <c r="I14" s="26">
        <v>1</v>
      </c>
      <c r="J14" s="26">
        <v>2555</v>
      </c>
      <c r="K14" s="26">
        <v>4506</v>
      </c>
      <c r="L14" s="23">
        <v>0</v>
      </c>
      <c r="M14" s="23">
        <v>6.69</v>
      </c>
      <c r="N14" s="23">
        <v>3.08</v>
      </c>
      <c r="O14" s="26">
        <v>1</v>
      </c>
      <c r="P14" s="26">
        <v>1084</v>
      </c>
      <c r="Q14" s="26">
        <v>1216</v>
      </c>
      <c r="R14" s="23">
        <v>0</v>
      </c>
      <c r="S14" s="23">
        <v>3.31</v>
      </c>
      <c r="T14" s="23">
        <v>1.55</v>
      </c>
      <c r="U14" s="26">
        <v>0</v>
      </c>
      <c r="V14" s="26">
        <v>489</v>
      </c>
      <c r="W14" s="26">
        <v>561</v>
      </c>
      <c r="X14" s="23">
        <v>0</v>
      </c>
      <c r="Y14" s="23">
        <v>1.18</v>
      </c>
      <c r="Z14" s="23">
        <v>0.39</v>
      </c>
      <c r="AA14" s="26">
        <v>4</v>
      </c>
      <c r="AB14" s="26">
        <v>184</v>
      </c>
      <c r="AC14" s="26">
        <v>315</v>
      </c>
      <c r="AD14" s="23">
        <v>0.01</v>
      </c>
      <c r="AE14" s="23">
        <v>0.38</v>
      </c>
      <c r="AF14" s="23">
        <v>0.16</v>
      </c>
      <c r="AG14" s="26">
        <v>10</v>
      </c>
      <c r="AH14" s="26">
        <v>169</v>
      </c>
      <c r="AI14" s="26">
        <v>276</v>
      </c>
      <c r="AJ14" s="23">
        <v>0.02</v>
      </c>
      <c r="AK14" s="23">
        <v>0.34</v>
      </c>
      <c r="AL14" s="23">
        <v>0.15</v>
      </c>
    </row>
    <row r="15" spans="1:38" x14ac:dyDescent="0.3">
      <c r="A15" s="28" t="s">
        <v>39</v>
      </c>
      <c r="B15" s="23" t="s">
        <v>8</v>
      </c>
      <c r="C15" s="26">
        <v>328</v>
      </c>
      <c r="D15" s="26">
        <v>330</v>
      </c>
      <c r="E15" s="26">
        <v>556</v>
      </c>
      <c r="F15" s="23">
        <v>2.25</v>
      </c>
      <c r="G15" s="23">
        <v>2.19</v>
      </c>
      <c r="H15" s="23">
        <v>1.71</v>
      </c>
      <c r="I15" s="26">
        <v>571</v>
      </c>
      <c r="J15" s="26">
        <v>574</v>
      </c>
      <c r="K15" s="26">
        <v>1112</v>
      </c>
      <c r="L15" s="23">
        <v>2.63</v>
      </c>
      <c r="M15" s="23">
        <v>2.59</v>
      </c>
      <c r="N15" s="23">
        <v>2.3199999999999998</v>
      </c>
      <c r="O15" s="26">
        <v>309</v>
      </c>
      <c r="P15" s="26">
        <v>309</v>
      </c>
      <c r="Q15" s="26">
        <v>417</v>
      </c>
      <c r="R15" s="23">
        <v>1.82</v>
      </c>
      <c r="S15" s="23">
        <v>1.8</v>
      </c>
      <c r="T15" s="23">
        <v>1.48</v>
      </c>
      <c r="U15" s="26">
        <v>477</v>
      </c>
      <c r="V15" s="26">
        <v>484</v>
      </c>
      <c r="W15" s="26">
        <v>821</v>
      </c>
      <c r="X15" s="23">
        <v>1.84</v>
      </c>
      <c r="Y15" s="23">
        <v>1.85</v>
      </c>
      <c r="Z15" s="23">
        <v>1.43</v>
      </c>
      <c r="AA15" s="26">
        <v>617</v>
      </c>
      <c r="AB15" s="26">
        <v>623</v>
      </c>
      <c r="AC15" s="26">
        <v>986</v>
      </c>
      <c r="AD15" s="23">
        <v>2.1</v>
      </c>
      <c r="AE15" s="23">
        <v>2.09</v>
      </c>
      <c r="AF15" s="23">
        <v>1.54</v>
      </c>
      <c r="AG15" s="26">
        <v>707</v>
      </c>
      <c r="AH15" s="26">
        <v>711</v>
      </c>
      <c r="AI15" s="26">
        <v>1254</v>
      </c>
      <c r="AJ15" s="23">
        <v>2.2000000000000002</v>
      </c>
      <c r="AK15" s="23">
        <v>2.19</v>
      </c>
      <c r="AL15" s="23">
        <v>1.84</v>
      </c>
    </row>
    <row r="16" spans="1:38" x14ac:dyDescent="0.3">
      <c r="A16" s="29"/>
      <c r="B16" s="23" t="s">
        <v>9</v>
      </c>
      <c r="C16" s="26">
        <v>325</v>
      </c>
      <c r="D16" s="26">
        <v>327</v>
      </c>
      <c r="E16" s="26">
        <v>598</v>
      </c>
      <c r="F16" s="23">
        <v>2.23</v>
      </c>
      <c r="G16" s="23">
        <v>2.17</v>
      </c>
      <c r="H16" s="23">
        <v>1.84</v>
      </c>
      <c r="I16" s="26">
        <v>718</v>
      </c>
      <c r="J16" s="26">
        <v>722</v>
      </c>
      <c r="K16" s="26">
        <v>1408</v>
      </c>
      <c r="L16" s="23">
        <v>3.3</v>
      </c>
      <c r="M16" s="23">
        <v>3.26</v>
      </c>
      <c r="N16" s="23">
        <v>2.94</v>
      </c>
      <c r="O16" s="26">
        <v>470</v>
      </c>
      <c r="P16" s="26">
        <v>473</v>
      </c>
      <c r="Q16" s="26">
        <v>639</v>
      </c>
      <c r="R16" s="23">
        <v>2.77</v>
      </c>
      <c r="S16" s="23">
        <v>2.75</v>
      </c>
      <c r="T16" s="23">
        <v>2.2599999999999998</v>
      </c>
      <c r="U16" s="26">
        <v>764</v>
      </c>
      <c r="V16" s="26">
        <v>769</v>
      </c>
      <c r="W16" s="26">
        <v>1350</v>
      </c>
      <c r="X16" s="23">
        <v>2.94</v>
      </c>
      <c r="Y16" s="23">
        <v>2.94</v>
      </c>
      <c r="Z16" s="23">
        <v>2.35</v>
      </c>
      <c r="AA16" s="26">
        <v>974</v>
      </c>
      <c r="AB16" s="26">
        <v>979</v>
      </c>
      <c r="AC16" s="26">
        <v>1772</v>
      </c>
      <c r="AD16" s="23">
        <v>3.31</v>
      </c>
      <c r="AE16" s="23">
        <v>3.29</v>
      </c>
      <c r="AF16" s="23">
        <v>2.76</v>
      </c>
      <c r="AG16" s="26">
        <v>1137</v>
      </c>
      <c r="AH16" s="26">
        <v>1144</v>
      </c>
      <c r="AI16" s="26">
        <v>2131</v>
      </c>
      <c r="AJ16" s="23">
        <v>3.53</v>
      </c>
      <c r="AK16" s="23">
        <v>3.52</v>
      </c>
      <c r="AL16" s="23">
        <v>3.12</v>
      </c>
    </row>
    <row r="17" spans="1:38" x14ac:dyDescent="0.3">
      <c r="A17" s="29"/>
      <c r="B17" s="23" t="s">
        <v>10</v>
      </c>
      <c r="C17" s="26">
        <v>125</v>
      </c>
      <c r="D17" s="26">
        <v>126</v>
      </c>
      <c r="E17" s="26">
        <v>301</v>
      </c>
      <c r="F17" s="23">
        <v>0.86</v>
      </c>
      <c r="G17" s="23">
        <v>0.84</v>
      </c>
      <c r="H17" s="23">
        <v>0.93</v>
      </c>
      <c r="I17" s="26">
        <v>221</v>
      </c>
      <c r="J17" s="26">
        <v>221</v>
      </c>
      <c r="K17" s="26">
        <v>476</v>
      </c>
      <c r="L17" s="23">
        <v>1.02</v>
      </c>
      <c r="M17" s="23">
        <v>1</v>
      </c>
      <c r="N17" s="23">
        <v>0.99</v>
      </c>
      <c r="O17" s="26">
        <v>157</v>
      </c>
      <c r="P17" s="26">
        <v>158</v>
      </c>
      <c r="Q17" s="26">
        <v>250</v>
      </c>
      <c r="R17" s="23">
        <v>0.93</v>
      </c>
      <c r="S17" s="23">
        <v>0.92</v>
      </c>
      <c r="T17" s="23">
        <v>0.89</v>
      </c>
      <c r="U17" s="26">
        <v>186</v>
      </c>
      <c r="V17" s="26">
        <v>187</v>
      </c>
      <c r="W17" s="26">
        <v>573</v>
      </c>
      <c r="X17" s="23">
        <v>0.72</v>
      </c>
      <c r="Y17" s="23">
        <v>0.71</v>
      </c>
      <c r="Z17" s="23">
        <v>1</v>
      </c>
      <c r="AA17" s="26">
        <v>208</v>
      </c>
      <c r="AB17" s="26">
        <v>210</v>
      </c>
      <c r="AC17" s="26">
        <v>698</v>
      </c>
      <c r="AD17" s="23">
        <v>0.71</v>
      </c>
      <c r="AE17" s="23">
        <v>0.71</v>
      </c>
      <c r="AF17" s="23">
        <v>1.0900000000000001</v>
      </c>
      <c r="AG17" s="26">
        <v>322</v>
      </c>
      <c r="AH17" s="26">
        <v>322</v>
      </c>
      <c r="AI17" s="26">
        <v>771</v>
      </c>
      <c r="AJ17" s="23">
        <v>1</v>
      </c>
      <c r="AK17" s="23">
        <v>0.99</v>
      </c>
      <c r="AL17" s="23">
        <v>1.1299999999999999</v>
      </c>
    </row>
    <row r="18" spans="1:38" x14ac:dyDescent="0.3">
      <c r="A18" s="29"/>
      <c r="B18" s="23" t="s">
        <v>11</v>
      </c>
      <c r="C18" s="26">
        <v>1215</v>
      </c>
      <c r="D18" s="26">
        <v>1228</v>
      </c>
      <c r="E18" s="26">
        <v>2142</v>
      </c>
      <c r="F18" s="23">
        <v>8.34</v>
      </c>
      <c r="G18" s="23">
        <v>8.15</v>
      </c>
      <c r="H18" s="23">
        <v>6.59</v>
      </c>
      <c r="I18" s="26">
        <v>1942</v>
      </c>
      <c r="J18" s="26">
        <v>1952</v>
      </c>
      <c r="K18" s="26">
        <v>3736</v>
      </c>
      <c r="L18" s="23">
        <v>8.93</v>
      </c>
      <c r="M18" s="23">
        <v>8.81</v>
      </c>
      <c r="N18" s="23">
        <v>7.81</v>
      </c>
      <c r="O18" s="26">
        <v>1500</v>
      </c>
      <c r="P18" s="26">
        <v>1503</v>
      </c>
      <c r="Q18" s="26">
        <v>2153</v>
      </c>
      <c r="R18" s="23">
        <v>8.86</v>
      </c>
      <c r="S18" s="23">
        <v>8.75</v>
      </c>
      <c r="T18" s="23">
        <v>7.62</v>
      </c>
      <c r="U18" s="26">
        <v>2565</v>
      </c>
      <c r="V18" s="26">
        <v>2570</v>
      </c>
      <c r="W18" s="26">
        <v>5240</v>
      </c>
      <c r="X18" s="23">
        <v>9.89</v>
      </c>
      <c r="Y18" s="23">
        <v>9.81</v>
      </c>
      <c r="Z18" s="23">
        <v>9.14</v>
      </c>
      <c r="AA18" s="26">
        <v>2797</v>
      </c>
      <c r="AB18" s="26">
        <v>2809</v>
      </c>
      <c r="AC18" s="26">
        <v>5774</v>
      </c>
      <c r="AD18" s="23">
        <v>9.51</v>
      </c>
      <c r="AE18" s="23">
        <v>9.44</v>
      </c>
      <c r="AF18" s="23">
        <v>8.99</v>
      </c>
      <c r="AG18" s="26">
        <v>2884</v>
      </c>
      <c r="AH18" s="26">
        <v>2895</v>
      </c>
      <c r="AI18" s="26">
        <v>5360</v>
      </c>
      <c r="AJ18" s="23">
        <v>8.9600000000000009</v>
      </c>
      <c r="AK18" s="23">
        <v>8.9</v>
      </c>
      <c r="AL18" s="23">
        <v>7.86</v>
      </c>
    </row>
    <row r="19" spans="1:38" x14ac:dyDescent="0.3">
      <c r="A19" s="29"/>
      <c r="B19" s="23" t="s">
        <v>12</v>
      </c>
      <c r="C19" s="26">
        <v>1105</v>
      </c>
      <c r="D19" s="26">
        <v>1112</v>
      </c>
      <c r="E19" s="26">
        <v>3714</v>
      </c>
      <c r="F19" s="23">
        <v>7.58</v>
      </c>
      <c r="G19" s="23">
        <v>7.38</v>
      </c>
      <c r="H19" s="23">
        <v>11.43</v>
      </c>
      <c r="I19" s="26">
        <v>1537</v>
      </c>
      <c r="J19" s="26">
        <v>1542</v>
      </c>
      <c r="K19" s="26">
        <v>4702</v>
      </c>
      <c r="L19" s="23">
        <v>7.07</v>
      </c>
      <c r="M19" s="23">
        <v>6.96</v>
      </c>
      <c r="N19" s="23">
        <v>9.83</v>
      </c>
      <c r="O19" s="26">
        <v>1287</v>
      </c>
      <c r="P19" s="26">
        <v>1291</v>
      </c>
      <c r="Q19" s="26">
        <v>2210</v>
      </c>
      <c r="R19" s="23">
        <v>7.6</v>
      </c>
      <c r="S19" s="23">
        <v>7.51</v>
      </c>
      <c r="T19" s="23">
        <v>7.82</v>
      </c>
      <c r="U19" s="26">
        <v>2081</v>
      </c>
      <c r="V19" s="26">
        <v>2092</v>
      </c>
      <c r="W19" s="26">
        <v>5424</v>
      </c>
      <c r="X19" s="23">
        <v>8.02</v>
      </c>
      <c r="Y19" s="23">
        <v>7.98</v>
      </c>
      <c r="Z19" s="23">
        <v>9.4600000000000009</v>
      </c>
      <c r="AA19" s="26">
        <v>2452</v>
      </c>
      <c r="AB19" s="26">
        <v>2459</v>
      </c>
      <c r="AC19" s="26">
        <v>6774</v>
      </c>
      <c r="AD19" s="23">
        <v>8.34</v>
      </c>
      <c r="AE19" s="23">
        <v>8.26</v>
      </c>
      <c r="AF19" s="23">
        <v>10.55</v>
      </c>
      <c r="AG19" s="26">
        <v>2559</v>
      </c>
      <c r="AH19" s="26">
        <v>2576</v>
      </c>
      <c r="AI19" s="26">
        <v>6825</v>
      </c>
      <c r="AJ19" s="23">
        <v>7.95</v>
      </c>
      <c r="AK19" s="23">
        <v>7.92</v>
      </c>
      <c r="AL19" s="23">
        <v>10</v>
      </c>
    </row>
    <row r="20" spans="1:38" x14ac:dyDescent="0.3">
      <c r="A20" s="29"/>
      <c r="B20" s="23" t="s">
        <v>13</v>
      </c>
      <c r="C20" s="26">
        <v>443</v>
      </c>
      <c r="D20" s="26">
        <v>446</v>
      </c>
      <c r="E20" s="26">
        <v>992</v>
      </c>
      <c r="F20" s="23">
        <v>3.04</v>
      </c>
      <c r="G20" s="23">
        <v>2.96</v>
      </c>
      <c r="H20" s="23">
        <v>3.05</v>
      </c>
      <c r="I20" s="26">
        <v>869</v>
      </c>
      <c r="J20" s="26">
        <v>871</v>
      </c>
      <c r="K20" s="26">
        <v>2139</v>
      </c>
      <c r="L20" s="23">
        <v>4</v>
      </c>
      <c r="M20" s="23">
        <v>3.93</v>
      </c>
      <c r="N20" s="23">
        <v>4.47</v>
      </c>
      <c r="O20" s="26">
        <v>702</v>
      </c>
      <c r="P20" s="26">
        <v>702</v>
      </c>
      <c r="Q20" s="26">
        <v>1150</v>
      </c>
      <c r="R20" s="23">
        <v>4.1399999999999997</v>
      </c>
      <c r="S20" s="23">
        <v>4.08</v>
      </c>
      <c r="T20" s="23">
        <v>4.07</v>
      </c>
      <c r="U20" s="26">
        <v>1257</v>
      </c>
      <c r="V20" s="26">
        <v>1263</v>
      </c>
      <c r="W20" s="26">
        <v>2684</v>
      </c>
      <c r="X20" s="23">
        <v>4.8499999999999996</v>
      </c>
      <c r="Y20" s="23">
        <v>4.82</v>
      </c>
      <c r="Z20" s="23">
        <v>4.68</v>
      </c>
      <c r="AA20" s="26">
        <v>1267</v>
      </c>
      <c r="AB20" s="26">
        <v>1272</v>
      </c>
      <c r="AC20" s="26">
        <v>2486</v>
      </c>
      <c r="AD20" s="23">
        <v>4.3099999999999996</v>
      </c>
      <c r="AE20" s="23">
        <v>4.2699999999999996</v>
      </c>
      <c r="AF20" s="23">
        <v>3.87</v>
      </c>
      <c r="AG20" s="26">
        <v>1494</v>
      </c>
      <c r="AH20" s="26">
        <v>1497</v>
      </c>
      <c r="AI20" s="26">
        <v>3047</v>
      </c>
      <c r="AJ20" s="23">
        <v>4.6399999999999997</v>
      </c>
      <c r="AK20" s="23">
        <v>4.5999999999999996</v>
      </c>
      <c r="AL20" s="23">
        <v>4.47</v>
      </c>
    </row>
    <row r="21" spans="1:38" x14ac:dyDescent="0.3">
      <c r="A21" s="29"/>
      <c r="B21" s="23" t="s">
        <v>14</v>
      </c>
      <c r="C21" s="26">
        <v>443</v>
      </c>
      <c r="D21" s="26">
        <v>445</v>
      </c>
      <c r="E21" s="26">
        <v>769</v>
      </c>
      <c r="F21" s="23">
        <v>3.04</v>
      </c>
      <c r="G21" s="23">
        <v>2.95</v>
      </c>
      <c r="H21" s="23">
        <v>2.37</v>
      </c>
      <c r="I21" s="26">
        <v>743</v>
      </c>
      <c r="J21" s="26">
        <v>743</v>
      </c>
      <c r="K21" s="26">
        <v>1320</v>
      </c>
      <c r="L21" s="23">
        <v>3.42</v>
      </c>
      <c r="M21" s="23">
        <v>3.35</v>
      </c>
      <c r="N21" s="23">
        <v>2.76</v>
      </c>
      <c r="O21" s="26">
        <v>422</v>
      </c>
      <c r="P21" s="26">
        <v>422</v>
      </c>
      <c r="Q21" s="26">
        <v>600</v>
      </c>
      <c r="R21" s="23">
        <v>2.4900000000000002</v>
      </c>
      <c r="S21" s="23">
        <v>2.46</v>
      </c>
      <c r="T21" s="23">
        <v>2.12</v>
      </c>
      <c r="U21" s="26">
        <v>558</v>
      </c>
      <c r="V21" s="26">
        <v>560</v>
      </c>
      <c r="W21" s="26">
        <v>987</v>
      </c>
      <c r="X21" s="23">
        <v>2.15</v>
      </c>
      <c r="Y21" s="23">
        <v>2.14</v>
      </c>
      <c r="Z21" s="23">
        <v>1.72</v>
      </c>
      <c r="AA21" s="26">
        <v>652</v>
      </c>
      <c r="AB21" s="26">
        <v>659</v>
      </c>
      <c r="AC21" s="26">
        <v>1110</v>
      </c>
      <c r="AD21" s="23">
        <v>2.2200000000000002</v>
      </c>
      <c r="AE21" s="23">
        <v>2.21</v>
      </c>
      <c r="AF21" s="23">
        <v>1.73</v>
      </c>
      <c r="AG21" s="26">
        <v>685</v>
      </c>
      <c r="AH21" s="26">
        <v>689</v>
      </c>
      <c r="AI21" s="26">
        <v>1214</v>
      </c>
      <c r="AJ21" s="23">
        <v>2.13</v>
      </c>
      <c r="AK21" s="23">
        <v>2.12</v>
      </c>
      <c r="AL21" s="23">
        <v>1.78</v>
      </c>
    </row>
    <row r="22" spans="1:38" x14ac:dyDescent="0.3">
      <c r="A22" s="29"/>
      <c r="B22" s="23" t="s">
        <v>15</v>
      </c>
      <c r="C22" s="26">
        <v>528</v>
      </c>
      <c r="D22" s="26">
        <v>529</v>
      </c>
      <c r="E22" s="26">
        <v>1214</v>
      </c>
      <c r="F22" s="23">
        <v>3.62</v>
      </c>
      <c r="G22" s="23">
        <v>3.51</v>
      </c>
      <c r="H22" s="23">
        <v>3.74</v>
      </c>
      <c r="I22" s="26">
        <v>501</v>
      </c>
      <c r="J22" s="26">
        <v>503</v>
      </c>
      <c r="K22" s="26">
        <v>1101</v>
      </c>
      <c r="L22" s="23">
        <v>2.2999999999999998</v>
      </c>
      <c r="M22" s="23">
        <v>2.27</v>
      </c>
      <c r="N22" s="23">
        <v>2.2999999999999998</v>
      </c>
      <c r="O22" s="26">
        <v>330</v>
      </c>
      <c r="P22" s="26">
        <v>331</v>
      </c>
      <c r="Q22" s="26">
        <v>580</v>
      </c>
      <c r="R22" s="23">
        <v>1.95</v>
      </c>
      <c r="S22" s="23">
        <v>1.93</v>
      </c>
      <c r="T22" s="23">
        <v>2.0499999999999998</v>
      </c>
      <c r="U22" s="26">
        <v>486</v>
      </c>
      <c r="V22" s="26">
        <v>486</v>
      </c>
      <c r="W22" s="26">
        <v>1257</v>
      </c>
      <c r="X22" s="23">
        <v>1.87</v>
      </c>
      <c r="Y22" s="23">
        <v>1.85</v>
      </c>
      <c r="Z22" s="23">
        <v>2.19</v>
      </c>
      <c r="AA22" s="26">
        <v>666</v>
      </c>
      <c r="AB22" s="26">
        <v>669</v>
      </c>
      <c r="AC22" s="26">
        <v>2010</v>
      </c>
      <c r="AD22" s="23">
        <v>2.2599999999999998</v>
      </c>
      <c r="AE22" s="23">
        <v>2.25</v>
      </c>
      <c r="AF22" s="23">
        <v>3.13</v>
      </c>
      <c r="AG22" s="26">
        <v>839</v>
      </c>
      <c r="AH22" s="26">
        <v>848</v>
      </c>
      <c r="AI22" s="26">
        <v>2047</v>
      </c>
      <c r="AJ22" s="23">
        <v>2.61</v>
      </c>
      <c r="AK22" s="23">
        <v>2.61</v>
      </c>
      <c r="AL22" s="23">
        <v>3</v>
      </c>
    </row>
    <row r="23" spans="1:38" x14ac:dyDescent="0.3">
      <c r="A23" s="29"/>
      <c r="B23" s="23" t="s">
        <v>16</v>
      </c>
      <c r="C23" s="26">
        <v>8889</v>
      </c>
      <c r="D23" s="26">
        <v>9041</v>
      </c>
      <c r="E23" s="26">
        <v>18837</v>
      </c>
      <c r="F23" s="23">
        <v>61</v>
      </c>
      <c r="G23" s="23">
        <v>59.99</v>
      </c>
      <c r="H23" s="23">
        <v>57.96</v>
      </c>
      <c r="I23" s="26">
        <v>12786</v>
      </c>
      <c r="J23" s="26">
        <v>12936</v>
      </c>
      <c r="K23" s="26">
        <v>26835</v>
      </c>
      <c r="L23" s="23">
        <v>58.79</v>
      </c>
      <c r="M23" s="23">
        <v>58.4</v>
      </c>
      <c r="N23" s="23">
        <v>56.09</v>
      </c>
      <c r="O23" s="26">
        <v>10283</v>
      </c>
      <c r="P23" s="26">
        <v>10366</v>
      </c>
      <c r="Q23" s="26">
        <v>17302</v>
      </c>
      <c r="R23" s="23">
        <v>60.71</v>
      </c>
      <c r="S23" s="23">
        <v>60.32</v>
      </c>
      <c r="T23" s="23">
        <v>61.26</v>
      </c>
      <c r="U23" s="26">
        <v>15458</v>
      </c>
      <c r="V23" s="26">
        <v>15616</v>
      </c>
      <c r="W23" s="26">
        <v>33853</v>
      </c>
      <c r="X23" s="23">
        <v>59.58</v>
      </c>
      <c r="Y23" s="23">
        <v>59.6</v>
      </c>
      <c r="Z23" s="23">
        <v>59.02</v>
      </c>
      <c r="AA23" s="26">
        <v>17384</v>
      </c>
      <c r="AB23" s="26">
        <v>17620</v>
      </c>
      <c r="AC23" s="26">
        <v>36751</v>
      </c>
      <c r="AD23" s="23">
        <v>59.1</v>
      </c>
      <c r="AE23" s="23">
        <v>59.19</v>
      </c>
      <c r="AF23" s="23">
        <v>57.24</v>
      </c>
      <c r="AG23" s="26">
        <v>18887</v>
      </c>
      <c r="AH23" s="26">
        <v>19101</v>
      </c>
      <c r="AI23" s="26">
        <v>39467</v>
      </c>
      <c r="AJ23" s="23">
        <v>58.68</v>
      </c>
      <c r="AK23" s="23">
        <v>58.7</v>
      </c>
      <c r="AL23" s="23">
        <v>57.85</v>
      </c>
    </row>
    <row r="24" spans="1:38" x14ac:dyDescent="0.3">
      <c r="A24" s="29"/>
      <c r="B24" s="23" t="s">
        <v>17</v>
      </c>
      <c r="C24" s="26">
        <v>1155</v>
      </c>
      <c r="D24" s="26">
        <v>1167</v>
      </c>
      <c r="E24" s="26">
        <v>2764</v>
      </c>
      <c r="F24" s="23">
        <v>7.93</v>
      </c>
      <c r="G24" s="23">
        <v>7.74</v>
      </c>
      <c r="H24" s="23">
        <v>8.5</v>
      </c>
      <c r="I24" s="26">
        <v>1837</v>
      </c>
      <c r="J24" s="26">
        <v>1860</v>
      </c>
      <c r="K24" s="26">
        <v>4644</v>
      </c>
      <c r="L24" s="23">
        <v>8.4499999999999993</v>
      </c>
      <c r="M24" s="23">
        <v>8.4</v>
      </c>
      <c r="N24" s="23">
        <v>9.7100000000000009</v>
      </c>
      <c r="O24" s="26">
        <v>1457</v>
      </c>
      <c r="P24" s="26">
        <v>1463</v>
      </c>
      <c r="Q24" s="26">
        <v>2733</v>
      </c>
      <c r="R24" s="23">
        <v>8.6</v>
      </c>
      <c r="S24" s="23">
        <v>8.51</v>
      </c>
      <c r="T24" s="23">
        <v>9.68</v>
      </c>
      <c r="U24" s="26">
        <v>2093</v>
      </c>
      <c r="V24" s="26">
        <v>2099</v>
      </c>
      <c r="W24" s="26">
        <v>5010</v>
      </c>
      <c r="X24" s="23">
        <v>8.07</v>
      </c>
      <c r="Y24" s="23">
        <v>8.01</v>
      </c>
      <c r="Z24" s="23">
        <v>8.73</v>
      </c>
      <c r="AA24" s="26">
        <v>2382</v>
      </c>
      <c r="AB24" s="26">
        <v>2395</v>
      </c>
      <c r="AC24" s="26">
        <v>5736</v>
      </c>
      <c r="AD24" s="23">
        <v>8.1</v>
      </c>
      <c r="AE24" s="23">
        <v>8.0399999999999991</v>
      </c>
      <c r="AF24" s="23">
        <v>8.93</v>
      </c>
      <c r="AG24" s="26">
        <v>2658</v>
      </c>
      <c r="AH24" s="26">
        <v>2663</v>
      </c>
      <c r="AI24" s="26">
        <v>5975</v>
      </c>
      <c r="AJ24" s="23">
        <v>8.26</v>
      </c>
      <c r="AK24" s="23">
        <v>8.18</v>
      </c>
      <c r="AL24" s="23">
        <v>8.76</v>
      </c>
    </row>
    <row r="25" spans="1:38" x14ac:dyDescent="0.3">
      <c r="A25" s="30"/>
      <c r="B25" s="23" t="s">
        <v>20</v>
      </c>
      <c r="C25" s="26">
        <v>17</v>
      </c>
      <c r="D25" s="26">
        <v>320</v>
      </c>
      <c r="E25" s="26">
        <v>612</v>
      </c>
      <c r="F25" s="23">
        <v>0.12</v>
      </c>
      <c r="G25" s="23">
        <v>2.12</v>
      </c>
      <c r="H25" s="23">
        <v>1.88</v>
      </c>
      <c r="I25" s="26">
        <v>23</v>
      </c>
      <c r="J25" s="26">
        <v>225</v>
      </c>
      <c r="K25" s="26">
        <v>372</v>
      </c>
      <c r="L25" s="23">
        <v>0.11</v>
      </c>
      <c r="M25" s="23">
        <v>1.02</v>
      </c>
      <c r="N25" s="23">
        <v>0.78</v>
      </c>
      <c r="O25" s="26">
        <v>22</v>
      </c>
      <c r="P25" s="26">
        <v>168</v>
      </c>
      <c r="Q25" s="26">
        <v>211</v>
      </c>
      <c r="R25" s="23">
        <v>0.13</v>
      </c>
      <c r="S25" s="23">
        <v>0.98</v>
      </c>
      <c r="T25" s="23">
        <v>0.75</v>
      </c>
      <c r="U25" s="26">
        <v>19</v>
      </c>
      <c r="V25" s="26">
        <v>74</v>
      </c>
      <c r="W25" s="26">
        <v>159</v>
      </c>
      <c r="X25" s="23">
        <v>7.0000000000000007E-2</v>
      </c>
      <c r="Y25" s="23">
        <v>0.28000000000000003</v>
      </c>
      <c r="Z25" s="23">
        <v>0.28000000000000003</v>
      </c>
      <c r="AA25" s="26">
        <v>14</v>
      </c>
      <c r="AB25" s="26">
        <v>76</v>
      </c>
      <c r="AC25" s="26">
        <v>111</v>
      </c>
      <c r="AD25" s="23">
        <v>0.05</v>
      </c>
      <c r="AE25" s="23">
        <v>0.26</v>
      </c>
      <c r="AF25" s="23">
        <v>0.17</v>
      </c>
      <c r="AG25" s="26">
        <v>17</v>
      </c>
      <c r="AH25" s="26">
        <v>92</v>
      </c>
      <c r="AI25" s="26">
        <v>135</v>
      </c>
      <c r="AJ25" s="23">
        <v>0.05</v>
      </c>
      <c r="AK25" s="23">
        <v>0.28000000000000003</v>
      </c>
      <c r="AL25" s="23">
        <v>0.2</v>
      </c>
    </row>
    <row r="26" spans="1:38" x14ac:dyDescent="0.3">
      <c r="A26" s="28" t="s">
        <v>38</v>
      </c>
      <c r="B26" s="23" t="s">
        <v>8</v>
      </c>
      <c r="C26" s="26">
        <v>1981</v>
      </c>
      <c r="D26" s="26">
        <v>2157</v>
      </c>
      <c r="E26" s="26">
        <v>5886</v>
      </c>
      <c r="F26" s="23">
        <v>2.77</v>
      </c>
      <c r="G26" s="23">
        <v>2.85</v>
      </c>
      <c r="H26" s="23">
        <v>2.4500000000000002</v>
      </c>
      <c r="I26" s="26">
        <v>2077</v>
      </c>
      <c r="J26" s="26">
        <v>2246</v>
      </c>
      <c r="K26" s="26">
        <v>6457</v>
      </c>
      <c r="L26" s="23">
        <v>2.69</v>
      </c>
      <c r="M26" s="23">
        <v>2.75</v>
      </c>
      <c r="N26" s="23">
        <v>2.6</v>
      </c>
      <c r="O26" s="26">
        <v>1315</v>
      </c>
      <c r="P26" s="26">
        <v>1431</v>
      </c>
      <c r="Q26" s="26">
        <v>2687</v>
      </c>
      <c r="R26" s="23">
        <v>2.5499999999999998</v>
      </c>
      <c r="S26" s="23">
        <v>2.66</v>
      </c>
      <c r="T26" s="23">
        <v>2.4700000000000002</v>
      </c>
      <c r="U26" s="26">
        <v>2556</v>
      </c>
      <c r="V26" s="26">
        <v>2637</v>
      </c>
      <c r="W26" s="26">
        <v>6804</v>
      </c>
      <c r="X26" s="23">
        <v>2.58</v>
      </c>
      <c r="Y26" s="23">
        <v>2.56</v>
      </c>
      <c r="Z26" s="23">
        <v>2.13</v>
      </c>
      <c r="AA26" s="26">
        <v>2794</v>
      </c>
      <c r="AB26" s="26">
        <v>2869</v>
      </c>
      <c r="AC26" s="26">
        <v>6383</v>
      </c>
      <c r="AD26" s="23">
        <v>2.38</v>
      </c>
      <c r="AE26" s="23">
        <v>2.37</v>
      </c>
      <c r="AF26" s="23">
        <v>1.88</v>
      </c>
      <c r="AG26" s="26">
        <v>3147</v>
      </c>
      <c r="AH26" s="26">
        <v>3189</v>
      </c>
      <c r="AI26" s="26">
        <v>7430</v>
      </c>
      <c r="AJ26" s="23">
        <v>2.2999999999999998</v>
      </c>
      <c r="AK26" s="23">
        <v>2.2799999999999998</v>
      </c>
      <c r="AL26" s="23">
        <v>1.85</v>
      </c>
    </row>
    <row r="27" spans="1:38" x14ac:dyDescent="0.3">
      <c r="A27" s="29"/>
      <c r="B27" s="23" t="s">
        <v>9</v>
      </c>
      <c r="C27" s="26">
        <v>3189</v>
      </c>
      <c r="D27" s="26">
        <v>3203</v>
      </c>
      <c r="E27" s="26">
        <v>9631</v>
      </c>
      <c r="F27" s="23">
        <v>4.46</v>
      </c>
      <c r="G27" s="23">
        <v>4.2300000000000004</v>
      </c>
      <c r="H27" s="23">
        <v>4</v>
      </c>
      <c r="I27" s="26">
        <v>3262</v>
      </c>
      <c r="J27" s="26">
        <v>3273</v>
      </c>
      <c r="K27" s="26">
        <v>9025</v>
      </c>
      <c r="L27" s="23">
        <v>4.2300000000000004</v>
      </c>
      <c r="M27" s="23">
        <v>4.01</v>
      </c>
      <c r="N27" s="23">
        <v>3.63</v>
      </c>
      <c r="O27" s="26">
        <v>1969</v>
      </c>
      <c r="P27" s="26">
        <v>1973</v>
      </c>
      <c r="Q27" s="26">
        <v>3670</v>
      </c>
      <c r="R27" s="23">
        <v>3.81</v>
      </c>
      <c r="S27" s="23">
        <v>3.67</v>
      </c>
      <c r="T27" s="23">
        <v>3.38</v>
      </c>
      <c r="U27" s="26">
        <v>3697</v>
      </c>
      <c r="V27" s="26">
        <v>3703</v>
      </c>
      <c r="W27" s="26">
        <v>9406</v>
      </c>
      <c r="X27" s="23">
        <v>3.73</v>
      </c>
      <c r="Y27" s="23">
        <v>3.6</v>
      </c>
      <c r="Z27" s="23">
        <v>2.94</v>
      </c>
      <c r="AA27" s="26">
        <v>4866</v>
      </c>
      <c r="AB27" s="26">
        <v>4877</v>
      </c>
      <c r="AC27" s="26">
        <v>10828</v>
      </c>
      <c r="AD27" s="23">
        <v>4.1399999999999997</v>
      </c>
      <c r="AE27" s="23">
        <v>4.03</v>
      </c>
      <c r="AF27" s="23">
        <v>3.19</v>
      </c>
      <c r="AG27" s="26">
        <v>6012</v>
      </c>
      <c r="AH27" s="26">
        <v>6020</v>
      </c>
      <c r="AI27" s="26">
        <v>14360</v>
      </c>
      <c r="AJ27" s="23">
        <v>4.4000000000000004</v>
      </c>
      <c r="AK27" s="23">
        <v>4.3</v>
      </c>
      <c r="AL27" s="23">
        <v>3.58</v>
      </c>
    </row>
    <row r="28" spans="1:38" x14ac:dyDescent="0.3">
      <c r="A28" s="29"/>
      <c r="B28" s="23" t="s">
        <v>10</v>
      </c>
      <c r="C28" s="26">
        <v>1063</v>
      </c>
      <c r="D28" s="26">
        <v>1083</v>
      </c>
      <c r="E28" s="26">
        <v>2827</v>
      </c>
      <c r="F28" s="23">
        <v>1.49</v>
      </c>
      <c r="G28" s="23">
        <v>1.43</v>
      </c>
      <c r="H28" s="23">
        <v>1.18</v>
      </c>
      <c r="I28" s="26">
        <v>1018</v>
      </c>
      <c r="J28" s="26">
        <v>1034</v>
      </c>
      <c r="K28" s="26">
        <v>2479</v>
      </c>
      <c r="L28" s="23">
        <v>1.32</v>
      </c>
      <c r="M28" s="23">
        <v>1.27</v>
      </c>
      <c r="N28" s="23">
        <v>1</v>
      </c>
      <c r="O28" s="26">
        <v>607</v>
      </c>
      <c r="P28" s="26">
        <v>613</v>
      </c>
      <c r="Q28" s="26">
        <v>987</v>
      </c>
      <c r="R28" s="23">
        <v>1.18</v>
      </c>
      <c r="S28" s="23">
        <v>1.1399999999999999</v>
      </c>
      <c r="T28" s="23">
        <v>0.91</v>
      </c>
      <c r="U28" s="26">
        <v>919</v>
      </c>
      <c r="V28" s="26">
        <v>931</v>
      </c>
      <c r="W28" s="26">
        <v>2558</v>
      </c>
      <c r="X28" s="23">
        <v>0.93</v>
      </c>
      <c r="Y28" s="23">
        <v>0.9</v>
      </c>
      <c r="Z28" s="23">
        <v>0.8</v>
      </c>
      <c r="AA28" s="26">
        <v>1211</v>
      </c>
      <c r="AB28" s="26">
        <v>1213</v>
      </c>
      <c r="AC28" s="26">
        <v>2762</v>
      </c>
      <c r="AD28" s="23">
        <v>1.03</v>
      </c>
      <c r="AE28" s="23">
        <v>1</v>
      </c>
      <c r="AF28" s="23">
        <v>0.81</v>
      </c>
      <c r="AG28" s="26">
        <v>1498</v>
      </c>
      <c r="AH28" s="26">
        <v>1507</v>
      </c>
      <c r="AI28" s="26">
        <v>3496</v>
      </c>
      <c r="AJ28" s="23">
        <v>1.1000000000000001</v>
      </c>
      <c r="AK28" s="23">
        <v>1.08</v>
      </c>
      <c r="AL28" s="23">
        <v>0.87</v>
      </c>
    </row>
    <row r="29" spans="1:38" x14ac:dyDescent="0.3">
      <c r="A29" s="29"/>
      <c r="B29" s="23" t="s">
        <v>11</v>
      </c>
      <c r="C29" s="26">
        <v>9699</v>
      </c>
      <c r="D29" s="26">
        <v>9796</v>
      </c>
      <c r="E29" s="26">
        <v>29969</v>
      </c>
      <c r="F29" s="23">
        <v>13.58</v>
      </c>
      <c r="G29" s="23">
        <v>12.94</v>
      </c>
      <c r="H29" s="23">
        <v>12.46</v>
      </c>
      <c r="I29" s="26">
        <v>10110</v>
      </c>
      <c r="J29" s="26">
        <v>10231</v>
      </c>
      <c r="K29" s="26">
        <v>31407</v>
      </c>
      <c r="L29" s="23">
        <v>13.1</v>
      </c>
      <c r="M29" s="23">
        <v>12.55</v>
      </c>
      <c r="N29" s="23">
        <v>12.62</v>
      </c>
      <c r="O29" s="26">
        <v>6600</v>
      </c>
      <c r="P29" s="26">
        <v>6658</v>
      </c>
      <c r="Q29" s="26">
        <v>13224</v>
      </c>
      <c r="R29" s="23">
        <v>12.78</v>
      </c>
      <c r="S29" s="23">
        <v>12.39</v>
      </c>
      <c r="T29" s="23">
        <v>12.17</v>
      </c>
      <c r="U29" s="26">
        <v>12653</v>
      </c>
      <c r="V29" s="26">
        <v>12762</v>
      </c>
      <c r="W29" s="26">
        <v>38745</v>
      </c>
      <c r="X29" s="23">
        <v>12.76</v>
      </c>
      <c r="Y29" s="23">
        <v>12.41</v>
      </c>
      <c r="Z29" s="23">
        <v>12.13</v>
      </c>
      <c r="AA29" s="26">
        <v>15456</v>
      </c>
      <c r="AB29" s="26">
        <v>15548</v>
      </c>
      <c r="AC29" s="26">
        <v>40848</v>
      </c>
      <c r="AD29" s="23">
        <v>13.14</v>
      </c>
      <c r="AE29" s="23">
        <v>12.85</v>
      </c>
      <c r="AF29" s="23">
        <v>12.04</v>
      </c>
      <c r="AG29" s="26">
        <v>17630</v>
      </c>
      <c r="AH29" s="26">
        <v>17740</v>
      </c>
      <c r="AI29" s="26">
        <v>47807</v>
      </c>
      <c r="AJ29" s="23">
        <v>12.91</v>
      </c>
      <c r="AK29" s="23">
        <v>12.68</v>
      </c>
      <c r="AL29" s="23">
        <v>11.91</v>
      </c>
    </row>
    <row r="30" spans="1:38" x14ac:dyDescent="0.3">
      <c r="A30" s="29"/>
      <c r="B30" s="23" t="s">
        <v>12</v>
      </c>
      <c r="C30" s="26">
        <v>4898</v>
      </c>
      <c r="D30" s="26">
        <v>4965</v>
      </c>
      <c r="E30" s="26">
        <v>15432</v>
      </c>
      <c r="F30" s="23">
        <v>6.86</v>
      </c>
      <c r="G30" s="23">
        <v>6.56</v>
      </c>
      <c r="H30" s="23">
        <v>6.41</v>
      </c>
      <c r="I30" s="26">
        <v>5254</v>
      </c>
      <c r="J30" s="26">
        <v>5377</v>
      </c>
      <c r="K30" s="26">
        <v>16468</v>
      </c>
      <c r="L30" s="23">
        <v>6.81</v>
      </c>
      <c r="M30" s="23">
        <v>6.59</v>
      </c>
      <c r="N30" s="23">
        <v>6.62</v>
      </c>
      <c r="O30" s="26">
        <v>3797</v>
      </c>
      <c r="P30" s="26">
        <v>3829</v>
      </c>
      <c r="Q30" s="26">
        <v>7837</v>
      </c>
      <c r="R30" s="23">
        <v>7.35</v>
      </c>
      <c r="S30" s="23">
        <v>7.12</v>
      </c>
      <c r="T30" s="23">
        <v>7.21</v>
      </c>
      <c r="U30" s="26">
        <v>6823</v>
      </c>
      <c r="V30" s="26">
        <v>6907</v>
      </c>
      <c r="W30" s="26">
        <v>23220</v>
      </c>
      <c r="X30" s="23">
        <v>6.88</v>
      </c>
      <c r="Y30" s="23">
        <v>6.71</v>
      </c>
      <c r="Z30" s="23">
        <v>7.27</v>
      </c>
      <c r="AA30" s="26">
        <v>7558</v>
      </c>
      <c r="AB30" s="26">
        <v>7645</v>
      </c>
      <c r="AC30" s="26">
        <v>23289</v>
      </c>
      <c r="AD30" s="23">
        <v>6.43</v>
      </c>
      <c r="AE30" s="23">
        <v>6.32</v>
      </c>
      <c r="AF30" s="23">
        <v>6.87</v>
      </c>
      <c r="AG30" s="26">
        <v>8804</v>
      </c>
      <c r="AH30" s="26">
        <v>8890</v>
      </c>
      <c r="AI30" s="26">
        <v>28337</v>
      </c>
      <c r="AJ30" s="23">
        <v>6.45</v>
      </c>
      <c r="AK30" s="23">
        <v>6.35</v>
      </c>
      <c r="AL30" s="23">
        <v>7.06</v>
      </c>
    </row>
    <row r="31" spans="1:38" x14ac:dyDescent="0.3">
      <c r="A31" s="29"/>
      <c r="B31" s="23" t="s">
        <v>13</v>
      </c>
      <c r="C31" s="26">
        <v>4809</v>
      </c>
      <c r="D31" s="26">
        <v>4960</v>
      </c>
      <c r="E31" s="26">
        <v>14951</v>
      </c>
      <c r="F31" s="23">
        <v>6.73</v>
      </c>
      <c r="G31" s="23">
        <v>6.55</v>
      </c>
      <c r="H31" s="23">
        <v>6.21</v>
      </c>
      <c r="I31" s="26">
        <v>4989</v>
      </c>
      <c r="J31" s="26">
        <v>5113</v>
      </c>
      <c r="K31" s="26">
        <v>14529</v>
      </c>
      <c r="L31" s="23">
        <v>6.46</v>
      </c>
      <c r="M31" s="23">
        <v>6.27</v>
      </c>
      <c r="N31" s="23">
        <v>5.84</v>
      </c>
      <c r="O31" s="26">
        <v>2907</v>
      </c>
      <c r="P31" s="26">
        <v>2942</v>
      </c>
      <c r="Q31" s="26">
        <v>5375</v>
      </c>
      <c r="R31" s="23">
        <v>5.63</v>
      </c>
      <c r="S31" s="23">
        <v>5.47</v>
      </c>
      <c r="T31" s="23">
        <v>4.9400000000000004</v>
      </c>
      <c r="U31" s="26">
        <v>6373</v>
      </c>
      <c r="V31" s="26">
        <v>6485</v>
      </c>
      <c r="W31" s="26">
        <v>16440</v>
      </c>
      <c r="X31" s="23">
        <v>6.42</v>
      </c>
      <c r="Y31" s="23">
        <v>6.3</v>
      </c>
      <c r="Z31" s="23">
        <v>5.15</v>
      </c>
      <c r="AA31" s="26">
        <v>8136</v>
      </c>
      <c r="AB31" s="26">
        <v>8244</v>
      </c>
      <c r="AC31" s="26">
        <v>17960</v>
      </c>
      <c r="AD31" s="23">
        <v>6.92</v>
      </c>
      <c r="AE31" s="23">
        <v>6.81</v>
      </c>
      <c r="AF31" s="23">
        <v>5.29</v>
      </c>
      <c r="AG31" s="26">
        <v>9274</v>
      </c>
      <c r="AH31" s="26">
        <v>9355</v>
      </c>
      <c r="AI31" s="26">
        <v>21935</v>
      </c>
      <c r="AJ31" s="23">
        <v>6.79</v>
      </c>
      <c r="AK31" s="23">
        <v>6.69</v>
      </c>
      <c r="AL31" s="23">
        <v>5.47</v>
      </c>
    </row>
    <row r="32" spans="1:38" x14ac:dyDescent="0.3">
      <c r="A32" s="29"/>
      <c r="B32" s="23" t="s">
        <v>14</v>
      </c>
      <c r="C32" s="26">
        <v>2860</v>
      </c>
      <c r="D32" s="26">
        <v>2933</v>
      </c>
      <c r="E32" s="26">
        <v>7686</v>
      </c>
      <c r="F32" s="23">
        <v>4</v>
      </c>
      <c r="G32" s="23">
        <v>3.87</v>
      </c>
      <c r="H32" s="23">
        <v>3.19</v>
      </c>
      <c r="I32" s="26">
        <v>2956</v>
      </c>
      <c r="J32" s="26">
        <v>3018</v>
      </c>
      <c r="K32" s="26">
        <v>7527</v>
      </c>
      <c r="L32" s="23">
        <v>3.83</v>
      </c>
      <c r="M32" s="23">
        <v>3.7</v>
      </c>
      <c r="N32" s="23">
        <v>3.03</v>
      </c>
      <c r="O32" s="26">
        <v>1416</v>
      </c>
      <c r="P32" s="26">
        <v>1444</v>
      </c>
      <c r="Q32" s="26">
        <v>2477</v>
      </c>
      <c r="R32" s="23">
        <v>2.74</v>
      </c>
      <c r="S32" s="23">
        <v>2.69</v>
      </c>
      <c r="T32" s="23">
        <v>2.2799999999999998</v>
      </c>
      <c r="U32" s="26">
        <v>2780</v>
      </c>
      <c r="V32" s="26">
        <v>2840</v>
      </c>
      <c r="W32" s="26">
        <v>6850</v>
      </c>
      <c r="X32" s="23">
        <v>2.8</v>
      </c>
      <c r="Y32" s="23">
        <v>2.76</v>
      </c>
      <c r="Z32" s="23">
        <v>2.14</v>
      </c>
      <c r="AA32" s="26">
        <v>3694</v>
      </c>
      <c r="AB32" s="26">
        <v>3745</v>
      </c>
      <c r="AC32" s="26">
        <v>8006</v>
      </c>
      <c r="AD32" s="23">
        <v>3.14</v>
      </c>
      <c r="AE32" s="23">
        <v>3.1</v>
      </c>
      <c r="AF32" s="23">
        <v>2.36</v>
      </c>
      <c r="AG32" s="26">
        <v>4454</v>
      </c>
      <c r="AH32" s="26">
        <v>4507</v>
      </c>
      <c r="AI32" s="26">
        <v>9850</v>
      </c>
      <c r="AJ32" s="23">
        <v>3.26</v>
      </c>
      <c r="AK32" s="23">
        <v>3.22</v>
      </c>
      <c r="AL32" s="23">
        <v>2.4500000000000002</v>
      </c>
    </row>
    <row r="33" spans="1:38" x14ac:dyDescent="0.3">
      <c r="A33" s="29"/>
      <c r="B33" s="23" t="s">
        <v>15</v>
      </c>
      <c r="C33" s="26">
        <v>3730</v>
      </c>
      <c r="D33" s="26">
        <v>5211</v>
      </c>
      <c r="E33" s="26">
        <v>17601</v>
      </c>
      <c r="F33" s="23">
        <v>5.22</v>
      </c>
      <c r="G33" s="23">
        <v>6.88</v>
      </c>
      <c r="H33" s="23">
        <v>7.32</v>
      </c>
      <c r="I33" s="26">
        <v>4567</v>
      </c>
      <c r="J33" s="26">
        <v>6004</v>
      </c>
      <c r="K33" s="26">
        <v>20380</v>
      </c>
      <c r="L33" s="23">
        <v>5.92</v>
      </c>
      <c r="M33" s="23">
        <v>7.36</v>
      </c>
      <c r="N33" s="23">
        <v>8.19</v>
      </c>
      <c r="O33" s="26">
        <v>2790</v>
      </c>
      <c r="P33" s="26">
        <v>3420</v>
      </c>
      <c r="Q33" s="26">
        <v>6574</v>
      </c>
      <c r="R33" s="23">
        <v>5.4</v>
      </c>
      <c r="S33" s="23">
        <v>6.36</v>
      </c>
      <c r="T33" s="23">
        <v>6.05</v>
      </c>
      <c r="U33" s="26">
        <v>5395</v>
      </c>
      <c r="V33" s="26">
        <v>6524</v>
      </c>
      <c r="W33" s="26">
        <v>23465</v>
      </c>
      <c r="X33" s="23">
        <v>5.44</v>
      </c>
      <c r="Y33" s="23">
        <v>6.34</v>
      </c>
      <c r="Z33" s="23">
        <v>7.34</v>
      </c>
      <c r="AA33" s="26">
        <v>5418</v>
      </c>
      <c r="AB33" s="26">
        <v>6308</v>
      </c>
      <c r="AC33" s="26">
        <v>18969</v>
      </c>
      <c r="AD33" s="23">
        <v>4.6100000000000003</v>
      </c>
      <c r="AE33" s="23">
        <v>5.21</v>
      </c>
      <c r="AF33" s="23">
        <v>5.59</v>
      </c>
      <c r="AG33" s="26">
        <v>6128</v>
      </c>
      <c r="AH33" s="26">
        <v>7003</v>
      </c>
      <c r="AI33" s="26">
        <v>20380</v>
      </c>
      <c r="AJ33" s="23">
        <v>4.49</v>
      </c>
      <c r="AK33" s="23">
        <v>5.01</v>
      </c>
      <c r="AL33" s="23">
        <v>5.08</v>
      </c>
    </row>
    <row r="34" spans="1:38" x14ac:dyDescent="0.3">
      <c r="A34" s="29"/>
      <c r="B34" s="23" t="s">
        <v>16</v>
      </c>
      <c r="C34" s="26">
        <v>34057</v>
      </c>
      <c r="D34" s="26">
        <v>35853</v>
      </c>
      <c r="E34" s="26">
        <v>116450</v>
      </c>
      <c r="F34" s="23">
        <v>47.68</v>
      </c>
      <c r="G34" s="23">
        <v>47.36</v>
      </c>
      <c r="H34" s="23">
        <v>48.4</v>
      </c>
      <c r="I34" s="26">
        <v>37443</v>
      </c>
      <c r="J34" s="26">
        <v>39338</v>
      </c>
      <c r="K34" s="26">
        <v>119601</v>
      </c>
      <c r="L34" s="23">
        <v>48.5</v>
      </c>
      <c r="M34" s="23">
        <v>48.25</v>
      </c>
      <c r="N34" s="23">
        <v>48.07</v>
      </c>
      <c r="O34" s="26">
        <v>26914</v>
      </c>
      <c r="P34" s="26">
        <v>28013</v>
      </c>
      <c r="Q34" s="26">
        <v>58368</v>
      </c>
      <c r="R34" s="23">
        <v>52.11</v>
      </c>
      <c r="S34" s="23">
        <v>52.11</v>
      </c>
      <c r="T34" s="23">
        <v>53.7</v>
      </c>
      <c r="U34" s="26">
        <v>52024</v>
      </c>
      <c r="V34" s="26">
        <v>53982</v>
      </c>
      <c r="W34" s="26">
        <v>172526</v>
      </c>
      <c r="X34" s="23">
        <v>52.45</v>
      </c>
      <c r="Y34" s="23">
        <v>52.47</v>
      </c>
      <c r="Z34" s="23">
        <v>54</v>
      </c>
      <c r="AA34" s="26">
        <v>61330</v>
      </c>
      <c r="AB34" s="26">
        <v>63266</v>
      </c>
      <c r="AC34" s="26">
        <v>190604</v>
      </c>
      <c r="AD34" s="23">
        <v>52.15</v>
      </c>
      <c r="AE34" s="23">
        <v>52.3</v>
      </c>
      <c r="AF34" s="23">
        <v>56.19</v>
      </c>
      <c r="AG34" s="26">
        <v>71268</v>
      </c>
      <c r="AH34" s="26">
        <v>73122</v>
      </c>
      <c r="AI34" s="26">
        <v>222137</v>
      </c>
      <c r="AJ34" s="23">
        <v>52.17</v>
      </c>
      <c r="AK34" s="23">
        <v>52.27</v>
      </c>
      <c r="AL34" s="23">
        <v>55.35</v>
      </c>
    </row>
    <row r="35" spans="1:38" x14ac:dyDescent="0.3">
      <c r="A35" s="29"/>
      <c r="B35" s="23" t="s">
        <v>17</v>
      </c>
      <c r="C35" s="26">
        <v>5100</v>
      </c>
      <c r="D35" s="26">
        <v>5354</v>
      </c>
      <c r="E35" s="26">
        <v>18376</v>
      </c>
      <c r="F35" s="23">
        <v>7.14</v>
      </c>
      <c r="G35" s="23">
        <v>7.07</v>
      </c>
      <c r="H35" s="23">
        <v>7.64</v>
      </c>
      <c r="I35" s="26">
        <v>5483</v>
      </c>
      <c r="J35" s="26">
        <v>5726</v>
      </c>
      <c r="K35" s="26">
        <v>19284</v>
      </c>
      <c r="L35" s="23">
        <v>7.1</v>
      </c>
      <c r="M35" s="23">
        <v>7.02</v>
      </c>
      <c r="N35" s="23">
        <v>7.75</v>
      </c>
      <c r="O35" s="26">
        <v>3301</v>
      </c>
      <c r="P35" s="26">
        <v>3360</v>
      </c>
      <c r="Q35" s="26">
        <v>7137</v>
      </c>
      <c r="R35" s="23">
        <v>6.39</v>
      </c>
      <c r="S35" s="23">
        <v>6.25</v>
      </c>
      <c r="T35" s="23">
        <v>6.57</v>
      </c>
      <c r="U35" s="26">
        <v>5946</v>
      </c>
      <c r="V35" s="26">
        <v>6007</v>
      </c>
      <c r="W35" s="26">
        <v>19049</v>
      </c>
      <c r="X35" s="23">
        <v>5.99</v>
      </c>
      <c r="Y35" s="23">
        <v>5.84</v>
      </c>
      <c r="Z35" s="23">
        <v>5.96</v>
      </c>
      <c r="AA35" s="26">
        <v>7121</v>
      </c>
      <c r="AB35" s="26">
        <v>7194</v>
      </c>
      <c r="AC35" s="26">
        <v>19439</v>
      </c>
      <c r="AD35" s="23">
        <v>6.05</v>
      </c>
      <c r="AE35" s="23">
        <v>5.95</v>
      </c>
      <c r="AF35" s="23">
        <v>5.73</v>
      </c>
      <c r="AG35" s="26">
        <v>8353</v>
      </c>
      <c r="AH35" s="26">
        <v>8525</v>
      </c>
      <c r="AI35" s="26">
        <v>25551</v>
      </c>
      <c r="AJ35" s="23">
        <v>6.12</v>
      </c>
      <c r="AK35" s="23">
        <v>6.09</v>
      </c>
      <c r="AL35" s="23">
        <v>6.37</v>
      </c>
    </row>
    <row r="36" spans="1:38" x14ac:dyDescent="0.3">
      <c r="A36" s="30"/>
      <c r="B36" s="23" t="s">
        <v>20</v>
      </c>
      <c r="C36" s="26">
        <v>48</v>
      </c>
      <c r="D36" s="26">
        <v>194</v>
      </c>
      <c r="E36" s="26">
        <v>1778</v>
      </c>
      <c r="F36" s="23">
        <v>7.0000000000000007E-2</v>
      </c>
      <c r="G36" s="23">
        <v>0.26</v>
      </c>
      <c r="H36" s="23">
        <v>0.74</v>
      </c>
      <c r="I36" s="26">
        <v>44</v>
      </c>
      <c r="J36" s="26">
        <v>175</v>
      </c>
      <c r="K36" s="26">
        <v>1667</v>
      </c>
      <c r="L36" s="23">
        <v>0.06</v>
      </c>
      <c r="M36" s="23">
        <v>0.21</v>
      </c>
      <c r="N36" s="23">
        <v>0.67</v>
      </c>
      <c r="O36" s="26">
        <v>28</v>
      </c>
      <c r="P36" s="26">
        <v>70</v>
      </c>
      <c r="Q36" s="26">
        <v>366</v>
      </c>
      <c r="R36" s="23">
        <v>0.05</v>
      </c>
      <c r="S36" s="23">
        <v>0.13</v>
      </c>
      <c r="T36" s="23">
        <v>0.34</v>
      </c>
      <c r="U36" s="26">
        <v>29</v>
      </c>
      <c r="V36" s="26">
        <v>98</v>
      </c>
      <c r="W36" s="26">
        <v>443</v>
      </c>
      <c r="X36" s="23">
        <v>0.03</v>
      </c>
      <c r="Y36" s="23">
        <v>0.1</v>
      </c>
      <c r="Z36" s="23">
        <v>0.14000000000000001</v>
      </c>
      <c r="AA36" s="26">
        <v>29</v>
      </c>
      <c r="AB36" s="26">
        <v>66</v>
      </c>
      <c r="AC36" s="26">
        <v>133</v>
      </c>
      <c r="AD36" s="23">
        <v>0.02</v>
      </c>
      <c r="AE36" s="23">
        <v>0.05</v>
      </c>
      <c r="AF36" s="23">
        <v>0.04</v>
      </c>
      <c r="AG36" s="26">
        <v>28</v>
      </c>
      <c r="AH36" s="26">
        <v>37</v>
      </c>
      <c r="AI36" s="26">
        <v>69</v>
      </c>
      <c r="AJ36" s="23">
        <v>0.02</v>
      </c>
      <c r="AK36" s="23">
        <v>0.03</v>
      </c>
      <c r="AL36" s="23">
        <v>0.02</v>
      </c>
    </row>
  </sheetData>
  <mergeCells count="9">
    <mergeCell ref="A4:A14"/>
    <mergeCell ref="A26:A36"/>
    <mergeCell ref="A15:A25"/>
    <mergeCell ref="AG2:AL2"/>
    <mergeCell ref="C2:H2"/>
    <mergeCell ref="I2:N2"/>
    <mergeCell ref="O2:T2"/>
    <mergeCell ref="U2:Z2"/>
    <mergeCell ref="AA2:AF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29"/>
  <sheetViews>
    <sheetView workbookViewId="0">
      <selection activeCell="K15" sqref="K15"/>
    </sheetView>
  </sheetViews>
  <sheetFormatPr defaultRowHeight="16.5" x14ac:dyDescent="0.3"/>
  <cols>
    <col min="1" max="1" width="2.5" customWidth="1"/>
    <col min="3" max="3" width="11" style="1" bestFit="1" customWidth="1"/>
    <col min="4" max="4" width="11.75" customWidth="1"/>
    <col min="5" max="5" width="9.875" bestFit="1" customWidth="1"/>
  </cols>
  <sheetData>
    <row r="2" spans="2:17" x14ac:dyDescent="0.3">
      <c r="B2" s="5" t="s">
        <v>6</v>
      </c>
      <c r="C2" s="5" t="s">
        <v>0</v>
      </c>
      <c r="D2" s="5" t="s">
        <v>1</v>
      </c>
      <c r="E2" s="5" t="s">
        <v>7</v>
      </c>
      <c r="H2" s="34" t="s">
        <v>22</v>
      </c>
      <c r="I2" s="34"/>
      <c r="J2" s="34"/>
      <c r="K2" s="35" t="s">
        <v>23</v>
      </c>
      <c r="L2" s="34"/>
      <c r="M2" s="36"/>
      <c r="N2" s="34" t="s">
        <v>24</v>
      </c>
      <c r="O2" s="34"/>
      <c r="P2" s="34"/>
    </row>
    <row r="3" spans="2:17" x14ac:dyDescent="0.3">
      <c r="B3" s="31">
        <v>2018</v>
      </c>
      <c r="C3" s="2" t="s">
        <v>2</v>
      </c>
      <c r="D3" s="6">
        <v>142423</v>
      </c>
      <c r="E3" s="9">
        <v>6.7</v>
      </c>
      <c r="H3" s="12" t="s">
        <v>18</v>
      </c>
      <c r="I3" s="12" t="s">
        <v>19</v>
      </c>
      <c r="J3" s="12" t="s">
        <v>21</v>
      </c>
      <c r="K3" s="17" t="s">
        <v>18</v>
      </c>
      <c r="L3" s="12" t="s">
        <v>19</v>
      </c>
      <c r="M3" s="13" t="s">
        <v>21</v>
      </c>
      <c r="N3" s="12" t="s">
        <v>18</v>
      </c>
      <c r="O3" s="12" t="s">
        <v>19</v>
      </c>
      <c r="P3" s="12" t="s">
        <v>21</v>
      </c>
    </row>
    <row r="4" spans="2:17" x14ac:dyDescent="0.3">
      <c r="B4" s="31"/>
      <c r="C4" s="2" t="s">
        <v>3</v>
      </c>
      <c r="D4" s="6">
        <v>1869437</v>
      </c>
      <c r="E4" s="9">
        <v>87.94</v>
      </c>
      <c r="H4" s="14" t="s">
        <v>28</v>
      </c>
      <c r="I4" s="15">
        <v>73387</v>
      </c>
      <c r="J4" s="14">
        <f t="shared" ref="J4:J14" si="0">ROUND((I4/I$15)*100,2)</f>
        <v>3.45</v>
      </c>
      <c r="K4" s="18" t="s">
        <v>8</v>
      </c>
      <c r="L4" s="15">
        <v>71993</v>
      </c>
      <c r="M4" s="16">
        <f t="shared" ref="M4:M14" si="1">ROUND((L4/L$15)*100,2)</f>
        <v>3.16</v>
      </c>
      <c r="N4" s="14" t="s">
        <v>8</v>
      </c>
      <c r="O4" s="15">
        <v>32650</v>
      </c>
      <c r="P4" s="14">
        <f t="shared" ref="P4:P14" si="2">ROUND((O4/O$15)*100,2)</f>
        <v>2.93</v>
      </c>
    </row>
    <row r="5" spans="2:17" x14ac:dyDescent="0.3">
      <c r="B5" s="31"/>
      <c r="C5" s="2" t="s">
        <v>4</v>
      </c>
      <c r="D5" s="6">
        <v>71757</v>
      </c>
      <c r="E5" s="9">
        <v>3.38</v>
      </c>
      <c r="H5" s="14" t="s">
        <v>9</v>
      </c>
      <c r="I5" s="15">
        <v>81404</v>
      </c>
      <c r="J5" s="14">
        <f t="shared" si="0"/>
        <v>3.83</v>
      </c>
      <c r="K5" s="18" t="s">
        <v>9</v>
      </c>
      <c r="L5" s="15">
        <v>84414</v>
      </c>
      <c r="M5" s="16">
        <f t="shared" si="1"/>
        <v>3.7</v>
      </c>
      <c r="N5" s="14" t="s">
        <v>9</v>
      </c>
      <c r="O5" s="15">
        <v>38795</v>
      </c>
      <c r="P5" s="14">
        <f t="shared" si="2"/>
        <v>3.48</v>
      </c>
    </row>
    <row r="6" spans="2:17" ht="17.25" thickBot="1" x14ac:dyDescent="0.35">
      <c r="B6" s="33"/>
      <c r="C6" s="3" t="s">
        <v>5</v>
      </c>
      <c r="D6" s="7">
        <v>42183</v>
      </c>
      <c r="E6" s="10">
        <v>1.98</v>
      </c>
      <c r="H6" s="14" t="s">
        <v>10</v>
      </c>
      <c r="I6" s="15">
        <v>28069</v>
      </c>
      <c r="J6" s="14">
        <f t="shared" si="0"/>
        <v>1.32</v>
      </c>
      <c r="K6" s="18" t="s">
        <v>10</v>
      </c>
      <c r="L6" s="15">
        <v>29639</v>
      </c>
      <c r="M6" s="16">
        <f t="shared" si="1"/>
        <v>1.3</v>
      </c>
      <c r="N6" s="14" t="s">
        <v>10</v>
      </c>
      <c r="O6" s="15">
        <v>13441</v>
      </c>
      <c r="P6" s="14">
        <f t="shared" si="2"/>
        <v>1.2</v>
      </c>
    </row>
    <row r="7" spans="2:17" x14ac:dyDescent="0.3">
      <c r="B7" s="32">
        <v>2019</v>
      </c>
      <c r="C7" s="4" t="s">
        <v>2</v>
      </c>
      <c r="D7" s="8">
        <v>125678</v>
      </c>
      <c r="E7" s="11">
        <v>5.52</v>
      </c>
      <c r="H7" s="14" t="s">
        <v>11</v>
      </c>
      <c r="I7" s="15">
        <v>275876</v>
      </c>
      <c r="J7" s="14">
        <f t="shared" si="0"/>
        <v>12.98</v>
      </c>
      <c r="K7" s="18" t="s">
        <v>11</v>
      </c>
      <c r="L7" s="15">
        <v>294748</v>
      </c>
      <c r="M7" s="16">
        <f t="shared" si="1"/>
        <v>12.94</v>
      </c>
      <c r="N7" s="14" t="s">
        <v>11</v>
      </c>
      <c r="O7" s="15">
        <v>144820</v>
      </c>
      <c r="P7" s="14">
        <f t="shared" si="2"/>
        <v>12.98</v>
      </c>
    </row>
    <row r="8" spans="2:17" x14ac:dyDescent="0.3">
      <c r="B8" s="31"/>
      <c r="C8" s="2" t="s">
        <v>3</v>
      </c>
      <c r="D8" s="6">
        <v>2064365</v>
      </c>
      <c r="E8" s="9">
        <v>90.6</v>
      </c>
      <c r="H8" s="14" t="s">
        <v>12</v>
      </c>
      <c r="I8" s="15">
        <v>189121</v>
      </c>
      <c r="J8" s="14">
        <f t="shared" si="0"/>
        <v>8.9</v>
      </c>
      <c r="K8" s="18" t="s">
        <v>12</v>
      </c>
      <c r="L8" s="15">
        <v>196023</v>
      </c>
      <c r="M8" s="16">
        <f t="shared" si="1"/>
        <v>8.6</v>
      </c>
      <c r="N8" s="14" t="s">
        <v>12</v>
      </c>
      <c r="O8" s="15">
        <v>95873</v>
      </c>
      <c r="P8" s="14">
        <f t="shared" si="2"/>
        <v>8.59</v>
      </c>
    </row>
    <row r="9" spans="2:17" x14ac:dyDescent="0.3">
      <c r="B9" s="31"/>
      <c r="C9" s="2" t="s">
        <v>4</v>
      </c>
      <c r="D9" s="6">
        <v>59617</v>
      </c>
      <c r="E9" s="9">
        <v>2.62</v>
      </c>
      <c r="H9" s="14" t="s">
        <v>13</v>
      </c>
      <c r="I9" s="15">
        <v>121072</v>
      </c>
      <c r="J9" s="14">
        <f t="shared" si="0"/>
        <v>5.7</v>
      </c>
      <c r="K9" s="18" t="s">
        <v>13</v>
      </c>
      <c r="L9" s="15">
        <v>132104</v>
      </c>
      <c r="M9" s="16">
        <f t="shared" si="1"/>
        <v>5.8</v>
      </c>
      <c r="N9" s="14" t="s">
        <v>13</v>
      </c>
      <c r="O9" s="15">
        <v>60656</v>
      </c>
      <c r="P9" s="14">
        <f t="shared" si="2"/>
        <v>5.44</v>
      </c>
    </row>
    <row r="10" spans="2:17" ht="17.25" thickBot="1" x14ac:dyDescent="0.35">
      <c r="B10" s="33"/>
      <c r="C10" s="3" t="s">
        <v>5</v>
      </c>
      <c r="D10" s="7">
        <v>28934</v>
      </c>
      <c r="E10" s="10">
        <v>1.27</v>
      </c>
      <c r="H10" s="14" t="s">
        <v>14</v>
      </c>
      <c r="I10" s="15">
        <v>92930</v>
      </c>
      <c r="J10" s="14">
        <f t="shared" si="0"/>
        <v>4.37</v>
      </c>
      <c r="K10" s="18" t="s">
        <v>14</v>
      </c>
      <c r="L10" s="15">
        <v>94596</v>
      </c>
      <c r="M10" s="16">
        <f t="shared" si="1"/>
        <v>4.1500000000000004</v>
      </c>
      <c r="N10" s="14" t="s">
        <v>14</v>
      </c>
      <c r="O10" s="15">
        <v>37469</v>
      </c>
      <c r="P10" s="14">
        <f t="shared" si="2"/>
        <v>3.36</v>
      </c>
    </row>
    <row r="11" spans="2:17" x14ac:dyDescent="0.3">
      <c r="B11" s="32">
        <v>2020</v>
      </c>
      <c r="C11" s="4" t="s">
        <v>2</v>
      </c>
      <c r="D11" s="8">
        <v>41594</v>
      </c>
      <c r="E11" s="11">
        <v>3.73</v>
      </c>
      <c r="H11" s="14" t="s">
        <v>15</v>
      </c>
      <c r="I11" s="15">
        <v>136023</v>
      </c>
      <c r="J11" s="14">
        <f t="shared" si="0"/>
        <v>6.4</v>
      </c>
      <c r="K11" s="18" t="s">
        <v>15</v>
      </c>
      <c r="L11" s="15">
        <v>155094</v>
      </c>
      <c r="M11" s="16">
        <f t="shared" si="1"/>
        <v>6.81</v>
      </c>
      <c r="N11" s="14" t="s">
        <v>15</v>
      </c>
      <c r="O11" s="15">
        <v>64527</v>
      </c>
      <c r="P11" s="14">
        <f t="shared" si="2"/>
        <v>5.78</v>
      </c>
    </row>
    <row r="12" spans="2:17" x14ac:dyDescent="0.3">
      <c r="B12" s="31"/>
      <c r="C12" s="2" t="s">
        <v>3</v>
      </c>
      <c r="D12" s="6">
        <v>1046913</v>
      </c>
      <c r="E12" s="9">
        <v>93.85</v>
      </c>
      <c r="H12" s="14" t="s">
        <v>16</v>
      </c>
      <c r="I12" s="15">
        <v>927886</v>
      </c>
      <c r="J12" s="14">
        <f t="shared" si="0"/>
        <v>43.65</v>
      </c>
      <c r="K12" s="18" t="s">
        <v>16</v>
      </c>
      <c r="L12" s="15">
        <v>1015246</v>
      </c>
      <c r="M12" s="16">
        <f t="shared" si="1"/>
        <v>44.56</v>
      </c>
      <c r="N12" s="14" t="s">
        <v>16</v>
      </c>
      <c r="O12" s="15">
        <v>543634</v>
      </c>
      <c r="P12" s="14">
        <f t="shared" si="2"/>
        <v>48.74</v>
      </c>
    </row>
    <row r="13" spans="2:17" x14ac:dyDescent="0.3">
      <c r="B13" s="31"/>
      <c r="C13" s="2" t="s">
        <v>4</v>
      </c>
      <c r="D13" s="6">
        <v>21514</v>
      </c>
      <c r="E13" s="9">
        <v>1.93</v>
      </c>
      <c r="H13" s="14" t="s">
        <v>17</v>
      </c>
      <c r="I13" s="15">
        <v>187844</v>
      </c>
      <c r="J13" s="14">
        <f t="shared" si="0"/>
        <v>8.84</v>
      </c>
      <c r="K13" s="18" t="s">
        <v>17</v>
      </c>
      <c r="L13" s="15">
        <v>195792</v>
      </c>
      <c r="M13" s="16">
        <f t="shared" si="1"/>
        <v>8.59</v>
      </c>
      <c r="N13" s="14" t="s">
        <v>17</v>
      </c>
      <c r="O13" s="15">
        <v>80972</v>
      </c>
      <c r="P13" s="14">
        <f t="shared" si="2"/>
        <v>7.26</v>
      </c>
    </row>
    <row r="14" spans="2:17" ht="17.25" thickBot="1" x14ac:dyDescent="0.35">
      <c r="B14" s="33"/>
      <c r="C14" s="3" t="s">
        <v>5</v>
      </c>
      <c r="D14" s="7">
        <v>5440</v>
      </c>
      <c r="E14" s="10">
        <v>0.49</v>
      </c>
      <c r="H14" s="14" t="s">
        <v>20</v>
      </c>
      <c r="I14" s="15">
        <v>12188</v>
      </c>
      <c r="J14" s="14">
        <f t="shared" si="0"/>
        <v>0.56999999999999995</v>
      </c>
      <c r="K14" s="18" t="s">
        <v>20</v>
      </c>
      <c r="L14" s="15">
        <v>8945</v>
      </c>
      <c r="M14" s="16">
        <f t="shared" si="1"/>
        <v>0.39</v>
      </c>
      <c r="N14" s="14" t="s">
        <v>20</v>
      </c>
      <c r="O14" s="15">
        <v>2624</v>
      </c>
      <c r="P14" s="14">
        <f t="shared" si="2"/>
        <v>0.24</v>
      </c>
    </row>
    <row r="15" spans="2:17" x14ac:dyDescent="0.3">
      <c r="B15" s="32">
        <v>2021</v>
      </c>
      <c r="C15" s="4" t="s">
        <v>2</v>
      </c>
      <c r="D15" s="8">
        <v>54287</v>
      </c>
      <c r="E15" s="11">
        <v>2.4500000000000002</v>
      </c>
      <c r="H15" s="19"/>
      <c r="I15" s="20">
        <f>SUM(I4:I14)</f>
        <v>2125800</v>
      </c>
      <c r="J15" s="19"/>
      <c r="K15" s="21"/>
      <c r="L15" s="20">
        <f>SUM(L4:L14)</f>
        <v>2278594</v>
      </c>
      <c r="M15" s="22"/>
      <c r="N15" s="19"/>
      <c r="O15" s="20">
        <f>SUM(O4:O14)</f>
        <v>1115461</v>
      </c>
      <c r="P15" s="19"/>
    </row>
    <row r="16" spans="2:17" x14ac:dyDescent="0.3">
      <c r="B16" s="31"/>
      <c r="C16" s="2" t="s">
        <v>3</v>
      </c>
      <c r="D16" s="6">
        <v>2125773</v>
      </c>
      <c r="E16" s="9">
        <v>95.94</v>
      </c>
      <c r="H16" s="34" t="s">
        <v>25</v>
      </c>
      <c r="I16" s="34"/>
      <c r="J16" s="34"/>
      <c r="K16" s="35" t="s">
        <v>26</v>
      </c>
      <c r="L16" s="34"/>
      <c r="M16" s="36"/>
      <c r="N16" s="34" t="s">
        <v>27</v>
      </c>
      <c r="O16" s="34"/>
      <c r="P16" s="34"/>
    </row>
    <row r="17" spans="2:16" x14ac:dyDescent="0.3">
      <c r="B17" s="31"/>
      <c r="C17" s="2" t="s">
        <v>4</v>
      </c>
      <c r="D17" s="6">
        <v>28893</v>
      </c>
      <c r="E17" s="9">
        <v>1.3</v>
      </c>
      <c r="H17" s="12" t="s">
        <v>18</v>
      </c>
      <c r="I17" s="12" t="s">
        <v>19</v>
      </c>
      <c r="J17" s="12" t="s">
        <v>21</v>
      </c>
      <c r="K17" s="17" t="s">
        <v>18</v>
      </c>
      <c r="L17" s="12" t="s">
        <v>19</v>
      </c>
      <c r="M17" s="13" t="s">
        <v>21</v>
      </c>
      <c r="N17" s="12" t="s">
        <v>18</v>
      </c>
      <c r="O17" s="12" t="s">
        <v>19</v>
      </c>
      <c r="P17" s="12" t="s">
        <v>21</v>
      </c>
    </row>
    <row r="18" spans="2:16" ht="17.25" thickBot="1" x14ac:dyDescent="0.35">
      <c r="B18" s="33"/>
      <c r="C18" s="3" t="s">
        <v>5</v>
      </c>
      <c r="D18" s="7">
        <v>6828</v>
      </c>
      <c r="E18" s="10">
        <v>0.31</v>
      </c>
      <c r="H18" s="14" t="s">
        <v>8</v>
      </c>
      <c r="I18" s="15">
        <v>60857</v>
      </c>
      <c r="J18" s="14">
        <f t="shared" ref="J18:J28" si="3">ROUND((I18/I$29)*100,2)</f>
        <v>2.75</v>
      </c>
      <c r="K18" s="18" t="s">
        <v>8</v>
      </c>
      <c r="L18" s="15">
        <v>71620</v>
      </c>
      <c r="M18" s="16">
        <f t="shared" ref="M18:M28" si="4">ROUND((L18/L$29)*100,2)</f>
        <v>2.92</v>
      </c>
      <c r="N18" s="14" t="s">
        <v>8</v>
      </c>
      <c r="O18" s="15">
        <v>70934</v>
      </c>
      <c r="P18" s="14">
        <f t="shared" ref="P18:P28" si="5">ROUND((O18/O$29)*100,2)</f>
        <v>2.9</v>
      </c>
    </row>
    <row r="19" spans="2:16" x14ac:dyDescent="0.3">
      <c r="B19" s="32">
        <v>2022</v>
      </c>
      <c r="C19" s="4" t="s">
        <v>2</v>
      </c>
      <c r="D19" s="8">
        <v>29180</v>
      </c>
      <c r="E19" s="11">
        <v>1.19</v>
      </c>
      <c r="H19" s="14" t="s">
        <v>9</v>
      </c>
      <c r="I19" s="15">
        <v>71449</v>
      </c>
      <c r="J19" s="14">
        <f t="shared" si="3"/>
        <v>3.22</v>
      </c>
      <c r="K19" s="18" t="s">
        <v>9</v>
      </c>
      <c r="L19" s="15">
        <v>87679</v>
      </c>
      <c r="M19" s="16">
        <f t="shared" si="4"/>
        <v>3.58</v>
      </c>
      <c r="N19" s="14" t="s">
        <v>9</v>
      </c>
      <c r="O19" s="15">
        <v>97839</v>
      </c>
      <c r="P19" s="14">
        <f t="shared" si="5"/>
        <v>4</v>
      </c>
    </row>
    <row r="20" spans="2:16" x14ac:dyDescent="0.3">
      <c r="B20" s="31"/>
      <c r="C20" s="2" t="s">
        <v>3</v>
      </c>
      <c r="D20" s="6">
        <v>2396590</v>
      </c>
      <c r="E20" s="9">
        <v>97.85</v>
      </c>
      <c r="H20" s="14" t="s">
        <v>10</v>
      </c>
      <c r="I20" s="15">
        <v>27190</v>
      </c>
      <c r="J20" s="14">
        <f t="shared" si="3"/>
        <v>1.23</v>
      </c>
      <c r="K20" s="18" t="s">
        <v>10</v>
      </c>
      <c r="L20" s="15">
        <v>30723</v>
      </c>
      <c r="M20" s="16">
        <f t="shared" si="4"/>
        <v>1.25</v>
      </c>
      <c r="N20" s="14" t="s">
        <v>10</v>
      </c>
      <c r="O20" s="15">
        <v>34040</v>
      </c>
      <c r="P20" s="14">
        <f t="shared" si="5"/>
        <v>1.39</v>
      </c>
    </row>
    <row r="21" spans="2:16" x14ac:dyDescent="0.3">
      <c r="B21" s="31"/>
      <c r="C21" s="2" t="s">
        <v>4</v>
      </c>
      <c r="D21" s="6">
        <v>17703</v>
      </c>
      <c r="E21" s="9">
        <v>0.72</v>
      </c>
      <c r="H21" s="14" t="s">
        <v>11</v>
      </c>
      <c r="I21" s="15">
        <v>278044</v>
      </c>
      <c r="J21" s="14">
        <f t="shared" si="3"/>
        <v>12.55</v>
      </c>
      <c r="K21" s="18" t="s">
        <v>11</v>
      </c>
      <c r="L21" s="15">
        <v>309516</v>
      </c>
      <c r="M21" s="16">
        <f t="shared" si="4"/>
        <v>12.64</v>
      </c>
      <c r="N21" s="14" t="s">
        <v>11</v>
      </c>
      <c r="O21" s="15">
        <v>307888</v>
      </c>
      <c r="P21" s="14">
        <f t="shared" si="5"/>
        <v>12.59</v>
      </c>
    </row>
    <row r="22" spans="2:16" ht="17.25" thickBot="1" x14ac:dyDescent="0.35">
      <c r="B22" s="33"/>
      <c r="C22" s="3" t="s">
        <v>5</v>
      </c>
      <c r="D22" s="7">
        <v>5768</v>
      </c>
      <c r="E22" s="10">
        <v>0.24</v>
      </c>
      <c r="H22" s="14" t="s">
        <v>12</v>
      </c>
      <c r="I22" s="15">
        <v>195200</v>
      </c>
      <c r="J22" s="14">
        <f t="shared" si="3"/>
        <v>8.81</v>
      </c>
      <c r="K22" s="18" t="s">
        <v>12</v>
      </c>
      <c r="L22" s="15">
        <v>205242</v>
      </c>
      <c r="M22" s="16">
        <f t="shared" si="4"/>
        <v>8.3800000000000008</v>
      </c>
      <c r="N22" s="14" t="s">
        <v>12</v>
      </c>
      <c r="O22" s="15">
        <v>205012</v>
      </c>
      <c r="P22" s="14">
        <f t="shared" si="5"/>
        <v>8.3800000000000008</v>
      </c>
    </row>
    <row r="23" spans="2:16" x14ac:dyDescent="0.3">
      <c r="B23" s="32">
        <v>2023</v>
      </c>
      <c r="C23" s="4" t="s">
        <v>2</v>
      </c>
      <c r="D23" s="8">
        <v>11323</v>
      </c>
      <c r="E23" s="11">
        <v>0.46</v>
      </c>
      <c r="H23" s="14" t="s">
        <v>13</v>
      </c>
      <c r="I23" s="15">
        <v>112093</v>
      </c>
      <c r="J23" s="14">
        <f t="shared" si="3"/>
        <v>5.0599999999999996</v>
      </c>
      <c r="K23" s="18" t="s">
        <v>13</v>
      </c>
      <c r="L23" s="15">
        <v>129217</v>
      </c>
      <c r="M23" s="16">
        <f t="shared" si="4"/>
        <v>5.28</v>
      </c>
      <c r="N23" s="14" t="s">
        <v>13</v>
      </c>
      <c r="O23" s="15">
        <v>132907</v>
      </c>
      <c r="P23" s="14">
        <f t="shared" si="5"/>
        <v>5.43</v>
      </c>
    </row>
    <row r="24" spans="2:16" x14ac:dyDescent="0.3">
      <c r="B24" s="31"/>
      <c r="C24" s="2" t="s">
        <v>3</v>
      </c>
      <c r="D24" s="6">
        <v>2430864</v>
      </c>
      <c r="E24" s="9">
        <v>99.38</v>
      </c>
      <c r="H24" s="14" t="s">
        <v>14</v>
      </c>
      <c r="I24" s="15">
        <v>69149</v>
      </c>
      <c r="J24" s="14">
        <f t="shared" si="3"/>
        <v>3.12</v>
      </c>
      <c r="K24" s="18" t="s">
        <v>14</v>
      </c>
      <c r="L24" s="15">
        <v>83089</v>
      </c>
      <c r="M24" s="16">
        <f t="shared" si="4"/>
        <v>3.39</v>
      </c>
      <c r="N24" s="14" t="s">
        <v>14</v>
      </c>
      <c r="O24" s="15">
        <v>85464</v>
      </c>
      <c r="P24" s="14">
        <f t="shared" si="5"/>
        <v>3.49</v>
      </c>
    </row>
    <row r="25" spans="2:16" x14ac:dyDescent="0.3">
      <c r="B25" s="31"/>
      <c r="C25" s="2" t="s">
        <v>4</v>
      </c>
      <c r="D25" s="6">
        <v>2973</v>
      </c>
      <c r="E25" s="9">
        <v>0.12</v>
      </c>
      <c r="H25" s="14" t="s">
        <v>15</v>
      </c>
      <c r="I25" s="15">
        <v>121806</v>
      </c>
      <c r="J25" s="14">
        <f t="shared" si="3"/>
        <v>5.5</v>
      </c>
      <c r="K25" s="18" t="s">
        <v>15</v>
      </c>
      <c r="L25" s="15">
        <v>123442</v>
      </c>
      <c r="M25" s="16">
        <f t="shared" si="4"/>
        <v>5.04</v>
      </c>
      <c r="N25" s="14" t="s">
        <v>15</v>
      </c>
      <c r="O25" s="15">
        <v>121088</v>
      </c>
      <c r="P25" s="14">
        <f t="shared" si="5"/>
        <v>4.95</v>
      </c>
    </row>
    <row r="26" spans="2:16" ht="17.25" thickBot="1" x14ac:dyDescent="0.35">
      <c r="B26" s="33"/>
      <c r="C26" s="3" t="s">
        <v>5</v>
      </c>
      <c r="D26" s="7">
        <v>900</v>
      </c>
      <c r="E26" s="10">
        <v>0.04</v>
      </c>
      <c r="H26" s="14" t="s">
        <v>16</v>
      </c>
      <c r="I26" s="15">
        <v>1128002</v>
      </c>
      <c r="J26" s="14">
        <f t="shared" si="3"/>
        <v>50.91</v>
      </c>
      <c r="K26" s="18" t="s">
        <v>16</v>
      </c>
      <c r="L26" s="15">
        <v>1243960</v>
      </c>
      <c r="M26" s="16">
        <f t="shared" si="4"/>
        <v>50.79</v>
      </c>
      <c r="N26" s="14" t="s">
        <v>16</v>
      </c>
      <c r="O26" s="15">
        <v>1217529</v>
      </c>
      <c r="P26" s="14">
        <f t="shared" si="5"/>
        <v>49.78</v>
      </c>
    </row>
    <row r="27" spans="2:16" x14ac:dyDescent="0.3">
      <c r="H27" s="14" t="s">
        <v>17</v>
      </c>
      <c r="I27" s="15">
        <v>146484</v>
      </c>
      <c r="J27" s="14">
        <f t="shared" si="3"/>
        <v>6.61</v>
      </c>
      <c r="K27" s="18" t="s">
        <v>17</v>
      </c>
      <c r="L27" s="15">
        <v>158968</v>
      </c>
      <c r="M27" s="16">
        <f t="shared" si="4"/>
        <v>6.49</v>
      </c>
      <c r="N27" s="14" t="s">
        <v>17</v>
      </c>
      <c r="O27" s="15">
        <v>169379</v>
      </c>
      <c r="P27" s="14">
        <f t="shared" si="5"/>
        <v>6.92</v>
      </c>
    </row>
    <row r="28" spans="2:16" x14ac:dyDescent="0.3">
      <c r="H28" s="14" t="s">
        <v>20</v>
      </c>
      <c r="I28" s="15">
        <v>5507</v>
      </c>
      <c r="J28" s="14">
        <f t="shared" si="3"/>
        <v>0.25</v>
      </c>
      <c r="K28" s="18" t="s">
        <v>20</v>
      </c>
      <c r="L28" s="15">
        <v>5785</v>
      </c>
      <c r="M28" s="16">
        <f t="shared" si="4"/>
        <v>0.24</v>
      </c>
      <c r="N28" s="14" t="s">
        <v>20</v>
      </c>
      <c r="O28" s="15">
        <v>3980</v>
      </c>
      <c r="P28" s="14">
        <f t="shared" si="5"/>
        <v>0.16</v>
      </c>
    </row>
    <row r="29" spans="2:16" x14ac:dyDescent="0.3">
      <c r="H29" s="19"/>
      <c r="I29" s="20">
        <f>SUM(I18:I28)</f>
        <v>2215781</v>
      </c>
      <c r="J29" s="19"/>
      <c r="K29" s="21"/>
      <c r="L29" s="20">
        <f>SUM(L18:L28)</f>
        <v>2449241</v>
      </c>
      <c r="M29" s="22"/>
      <c r="N29" s="19"/>
      <c r="O29" s="20">
        <f>SUM(O18:O28)</f>
        <v>2446060</v>
      </c>
      <c r="P29" s="19"/>
    </row>
  </sheetData>
  <mergeCells count="12">
    <mergeCell ref="B23:B26"/>
    <mergeCell ref="H2:J2"/>
    <mergeCell ref="K2:M2"/>
    <mergeCell ref="N2:P2"/>
    <mergeCell ref="H16:J16"/>
    <mergeCell ref="K16:M16"/>
    <mergeCell ref="N16:P16"/>
    <mergeCell ref="B3:B6"/>
    <mergeCell ref="B7:B10"/>
    <mergeCell ref="B11:B14"/>
    <mergeCell ref="B15:B18"/>
    <mergeCell ref="B19:B2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29"/>
  <sheetViews>
    <sheetView topLeftCell="C1" workbookViewId="0">
      <selection activeCell="K15" sqref="K15"/>
    </sheetView>
  </sheetViews>
  <sheetFormatPr defaultRowHeight="16.5" x14ac:dyDescent="0.3"/>
  <cols>
    <col min="1" max="1" width="2.5" customWidth="1"/>
    <col min="3" max="3" width="11" style="1" bestFit="1" customWidth="1"/>
    <col min="4" max="4" width="11.75" customWidth="1"/>
    <col min="5" max="5" width="9.875" bestFit="1" customWidth="1"/>
  </cols>
  <sheetData>
    <row r="2" spans="2:17" x14ac:dyDescent="0.3">
      <c r="B2" s="5" t="s">
        <v>6</v>
      </c>
      <c r="C2" s="5" t="s">
        <v>0</v>
      </c>
      <c r="D2" s="5" t="s">
        <v>1</v>
      </c>
      <c r="E2" s="5" t="s">
        <v>7</v>
      </c>
      <c r="H2" s="34" t="s">
        <v>22</v>
      </c>
      <c r="I2" s="34"/>
      <c r="J2" s="34"/>
      <c r="K2" s="35" t="s">
        <v>23</v>
      </c>
      <c r="L2" s="34"/>
      <c r="M2" s="36"/>
      <c r="N2" s="34" t="s">
        <v>24</v>
      </c>
      <c r="O2" s="34"/>
      <c r="P2" s="34"/>
    </row>
    <row r="3" spans="2:17" x14ac:dyDescent="0.3">
      <c r="B3" s="31">
        <v>2018</v>
      </c>
      <c r="C3" s="2" t="s">
        <v>2</v>
      </c>
      <c r="D3" s="6">
        <v>17127</v>
      </c>
      <c r="E3" s="9">
        <v>1.97</v>
      </c>
      <c r="H3" s="12" t="s">
        <v>18</v>
      </c>
      <c r="I3" s="12" t="s">
        <v>19</v>
      </c>
      <c r="J3" s="12" t="s">
        <v>21</v>
      </c>
      <c r="K3" s="17" t="s">
        <v>18</v>
      </c>
      <c r="L3" s="12" t="s">
        <v>19</v>
      </c>
      <c r="M3" s="13" t="s">
        <v>21</v>
      </c>
      <c r="N3" s="12" t="s">
        <v>18</v>
      </c>
      <c r="O3" s="12" t="s">
        <v>19</v>
      </c>
      <c r="P3" s="12" t="s">
        <v>21</v>
      </c>
    </row>
    <row r="4" spans="2:17" x14ac:dyDescent="0.3">
      <c r="B4" s="31"/>
      <c r="C4" s="2" t="s">
        <v>3</v>
      </c>
      <c r="D4" s="6">
        <v>836568</v>
      </c>
      <c r="E4" s="9">
        <v>96.28</v>
      </c>
      <c r="H4" s="14" t="s">
        <v>8</v>
      </c>
      <c r="I4" s="15">
        <v>30719</v>
      </c>
      <c r="J4" s="14">
        <f t="shared" ref="J4:J14" si="0">ROUND((I4/I$15)*100,2)</f>
        <v>3.54</v>
      </c>
      <c r="K4" s="18" t="s">
        <v>8</v>
      </c>
      <c r="L4" s="15">
        <v>27640</v>
      </c>
      <c r="M4" s="16">
        <f t="shared" ref="M4:M14" si="1">ROUND((L4/L$15)*100,2)</f>
        <v>3.12</v>
      </c>
      <c r="N4" s="14" t="s">
        <v>8</v>
      </c>
      <c r="O4" s="15">
        <v>10814</v>
      </c>
      <c r="P4" s="14">
        <f t="shared" ref="P4:P14" si="2">ROUND((O4/O$15)*100,2)</f>
        <v>2.93</v>
      </c>
    </row>
    <row r="5" spans="2:17" x14ac:dyDescent="0.3">
      <c r="B5" s="31"/>
      <c r="C5" s="2" t="s">
        <v>5</v>
      </c>
      <c r="D5" s="6">
        <v>15172</v>
      </c>
      <c r="E5" s="9">
        <v>1.75</v>
      </c>
      <c r="H5" s="14" t="s">
        <v>9</v>
      </c>
      <c r="I5" s="15">
        <v>36553</v>
      </c>
      <c r="J5" s="14">
        <f t="shared" si="0"/>
        <v>4.21</v>
      </c>
      <c r="K5" s="18" t="s">
        <v>9</v>
      </c>
      <c r="L5" s="15">
        <v>34230</v>
      </c>
      <c r="M5" s="16">
        <f t="shared" si="1"/>
        <v>3.86</v>
      </c>
      <c r="N5" s="14" t="s">
        <v>9</v>
      </c>
      <c r="O5" s="15">
        <v>13885</v>
      </c>
      <c r="P5" s="14">
        <f t="shared" si="2"/>
        <v>3.77</v>
      </c>
    </row>
    <row r="6" spans="2:17" ht="17.25" thickBot="1" x14ac:dyDescent="0.35">
      <c r="B6" s="33"/>
      <c r="C6" s="3"/>
      <c r="D6" s="7"/>
      <c r="E6" s="10"/>
      <c r="H6" s="14" t="s">
        <v>10</v>
      </c>
      <c r="I6" s="15">
        <v>12065</v>
      </c>
      <c r="J6" s="14">
        <f t="shared" si="0"/>
        <v>1.39</v>
      </c>
      <c r="K6" s="18" t="s">
        <v>10</v>
      </c>
      <c r="L6" s="15">
        <v>11219</v>
      </c>
      <c r="M6" s="16">
        <f t="shared" si="1"/>
        <v>1.27</v>
      </c>
      <c r="N6" s="14" t="s">
        <v>10</v>
      </c>
      <c r="O6" s="15">
        <v>4142</v>
      </c>
      <c r="P6" s="14">
        <f t="shared" si="2"/>
        <v>1.1200000000000001</v>
      </c>
    </row>
    <row r="7" spans="2:17" x14ac:dyDescent="0.3">
      <c r="B7" s="32">
        <v>2019</v>
      </c>
      <c r="C7" s="4" t="s">
        <v>2</v>
      </c>
      <c r="D7" s="8">
        <v>17609</v>
      </c>
      <c r="E7" s="11">
        <v>1.99</v>
      </c>
      <c r="H7" s="14" t="s">
        <v>11</v>
      </c>
      <c r="I7" s="15">
        <v>116641</v>
      </c>
      <c r="J7" s="14">
        <f t="shared" si="0"/>
        <v>13.42</v>
      </c>
      <c r="K7" s="18" t="s">
        <v>11</v>
      </c>
      <c r="L7" s="15">
        <v>115042</v>
      </c>
      <c r="M7" s="16">
        <f t="shared" si="1"/>
        <v>12.98</v>
      </c>
      <c r="N7" s="14" t="s">
        <v>11</v>
      </c>
      <c r="O7" s="15">
        <v>46811</v>
      </c>
      <c r="P7" s="14">
        <f t="shared" si="2"/>
        <v>12.7</v>
      </c>
    </row>
    <row r="8" spans="2:17" x14ac:dyDescent="0.3">
      <c r="B8" s="31"/>
      <c r="C8" s="2" t="s">
        <v>3</v>
      </c>
      <c r="D8" s="6">
        <v>856367</v>
      </c>
      <c r="E8" s="9">
        <v>96.65</v>
      </c>
      <c r="H8" s="14" t="s">
        <v>12</v>
      </c>
      <c r="I8" s="15">
        <v>75335</v>
      </c>
      <c r="J8" s="14">
        <f t="shared" si="0"/>
        <v>8.67</v>
      </c>
      <c r="K8" s="18" t="s">
        <v>12</v>
      </c>
      <c r="L8" s="15">
        <v>74288</v>
      </c>
      <c r="M8" s="16">
        <f t="shared" si="1"/>
        <v>8.3800000000000008</v>
      </c>
      <c r="N8" s="14" t="s">
        <v>12</v>
      </c>
      <c r="O8" s="15">
        <v>29820</v>
      </c>
      <c r="P8" s="14">
        <f t="shared" si="2"/>
        <v>8.09</v>
      </c>
    </row>
    <row r="9" spans="2:17" x14ac:dyDescent="0.3">
      <c r="B9" s="31"/>
      <c r="C9" s="2" t="s">
        <v>5</v>
      </c>
      <c r="D9" s="6">
        <v>12083</v>
      </c>
      <c r="E9" s="9">
        <v>1.36</v>
      </c>
      <c r="H9" s="14" t="s">
        <v>13</v>
      </c>
      <c r="I9" s="15">
        <v>54452</v>
      </c>
      <c r="J9" s="14">
        <f t="shared" si="0"/>
        <v>6.27</v>
      </c>
      <c r="K9" s="18" t="s">
        <v>13</v>
      </c>
      <c r="L9" s="15">
        <v>53795</v>
      </c>
      <c r="M9" s="16">
        <f t="shared" si="1"/>
        <v>6.07</v>
      </c>
      <c r="N9" s="14" t="s">
        <v>13</v>
      </c>
      <c r="O9" s="15">
        <v>20351</v>
      </c>
      <c r="P9" s="14">
        <f t="shared" si="2"/>
        <v>5.52</v>
      </c>
    </row>
    <row r="10" spans="2:17" ht="17.25" thickBot="1" x14ac:dyDescent="0.35">
      <c r="B10" s="33"/>
      <c r="C10" s="3"/>
      <c r="D10" s="7"/>
      <c r="E10" s="10"/>
      <c r="H10" s="14" t="s">
        <v>14</v>
      </c>
      <c r="I10" s="15">
        <v>48013</v>
      </c>
      <c r="J10" s="14">
        <f t="shared" si="0"/>
        <v>5.53</v>
      </c>
      <c r="K10" s="18" t="s">
        <v>14</v>
      </c>
      <c r="L10" s="15">
        <v>45192</v>
      </c>
      <c r="M10" s="16">
        <f t="shared" si="1"/>
        <v>5.0999999999999996</v>
      </c>
      <c r="N10" s="14" t="s">
        <v>14</v>
      </c>
      <c r="O10" s="15">
        <v>15213</v>
      </c>
      <c r="P10" s="14">
        <f t="shared" si="2"/>
        <v>4.13</v>
      </c>
    </row>
    <row r="11" spans="2:17" x14ac:dyDescent="0.3">
      <c r="B11" s="32">
        <v>2020</v>
      </c>
      <c r="C11" s="4" t="s">
        <v>2</v>
      </c>
      <c r="D11" s="8">
        <v>7427</v>
      </c>
      <c r="E11" s="11">
        <v>2.0099999999999998</v>
      </c>
      <c r="H11" s="14" t="s">
        <v>15</v>
      </c>
      <c r="I11" s="15">
        <v>36201</v>
      </c>
      <c r="J11" s="14">
        <f t="shared" si="0"/>
        <v>4.17</v>
      </c>
      <c r="K11" s="18" t="s">
        <v>15</v>
      </c>
      <c r="L11" s="15">
        <v>52554</v>
      </c>
      <c r="M11" s="16">
        <f t="shared" si="1"/>
        <v>5.93</v>
      </c>
      <c r="N11" s="14" t="s">
        <v>15</v>
      </c>
      <c r="O11" s="15">
        <v>18499</v>
      </c>
      <c r="P11" s="14">
        <f t="shared" si="2"/>
        <v>5.0199999999999996</v>
      </c>
    </row>
    <row r="12" spans="2:17" x14ac:dyDescent="0.3">
      <c r="B12" s="31"/>
      <c r="C12" s="2" t="s">
        <v>3</v>
      </c>
      <c r="D12" s="6">
        <v>357707</v>
      </c>
      <c r="E12" s="9">
        <v>97.02</v>
      </c>
      <c r="H12" s="14" t="s">
        <v>16</v>
      </c>
      <c r="I12" s="15">
        <v>376361</v>
      </c>
      <c r="J12" s="14">
        <f t="shared" si="0"/>
        <v>43.32</v>
      </c>
      <c r="K12" s="18" t="s">
        <v>16</v>
      </c>
      <c r="L12" s="15">
        <v>391674</v>
      </c>
      <c r="M12" s="16">
        <f t="shared" si="1"/>
        <v>44.2</v>
      </c>
      <c r="N12" s="14" t="s">
        <v>16</v>
      </c>
      <c r="O12" s="15">
        <v>181498</v>
      </c>
      <c r="P12" s="14">
        <f t="shared" si="2"/>
        <v>49.23</v>
      </c>
    </row>
    <row r="13" spans="2:17" x14ac:dyDescent="0.3">
      <c r="B13" s="31"/>
      <c r="C13" s="2" t="s">
        <v>5</v>
      </c>
      <c r="D13" s="6">
        <v>3554</v>
      </c>
      <c r="E13" s="9">
        <v>0.96</v>
      </c>
      <c r="H13" s="14" t="s">
        <v>17</v>
      </c>
      <c r="I13" s="15">
        <v>79345</v>
      </c>
      <c r="J13" s="14">
        <f t="shared" si="0"/>
        <v>9.1300000000000008</v>
      </c>
      <c r="K13" s="18" t="s">
        <v>17</v>
      </c>
      <c r="L13" s="15">
        <v>78180</v>
      </c>
      <c r="M13" s="16">
        <f t="shared" si="1"/>
        <v>8.82</v>
      </c>
      <c r="N13" s="14" t="s">
        <v>17</v>
      </c>
      <c r="O13" s="15">
        <v>26984</v>
      </c>
      <c r="P13" s="14">
        <f t="shared" si="2"/>
        <v>7.32</v>
      </c>
    </row>
    <row r="14" spans="2:17" ht="17.25" thickBot="1" x14ac:dyDescent="0.35">
      <c r="B14" s="33"/>
      <c r="C14" s="3"/>
      <c r="D14" s="7"/>
      <c r="E14" s="10"/>
      <c r="H14" s="14" t="s">
        <v>20</v>
      </c>
      <c r="I14" s="15">
        <v>3182</v>
      </c>
      <c r="J14" s="14">
        <f t="shared" si="0"/>
        <v>0.37</v>
      </c>
      <c r="K14" s="18" t="s">
        <v>20</v>
      </c>
      <c r="L14" s="15">
        <v>2245</v>
      </c>
      <c r="M14" s="16">
        <f t="shared" si="1"/>
        <v>0.25</v>
      </c>
      <c r="N14" s="14" t="s">
        <v>20</v>
      </c>
      <c r="O14" s="15">
        <v>671</v>
      </c>
      <c r="P14" s="14">
        <f t="shared" si="2"/>
        <v>0.18</v>
      </c>
    </row>
    <row r="15" spans="2:17" x14ac:dyDescent="0.3">
      <c r="B15" s="32">
        <v>2021</v>
      </c>
      <c r="C15" s="4" t="s">
        <v>2</v>
      </c>
      <c r="D15" s="8">
        <v>11260</v>
      </c>
      <c r="E15" s="11">
        <v>1.53</v>
      </c>
      <c r="H15" s="19"/>
      <c r="I15" s="20">
        <f>SUM(I4:I14)</f>
        <v>868867</v>
      </c>
      <c r="J15" s="19"/>
      <c r="K15" s="21"/>
      <c r="L15" s="20">
        <f>SUM(L4:L14)</f>
        <v>886059</v>
      </c>
      <c r="M15" s="22"/>
      <c r="N15" s="19"/>
      <c r="O15" s="20">
        <f>SUM(O4:O14)</f>
        <v>368688</v>
      </c>
      <c r="P15" s="19"/>
    </row>
    <row r="16" spans="2:17" x14ac:dyDescent="0.3">
      <c r="B16" s="31"/>
      <c r="C16" s="2" t="s">
        <v>3</v>
      </c>
      <c r="D16" s="6">
        <v>720584</v>
      </c>
      <c r="E16" s="9">
        <v>97.76</v>
      </c>
      <c r="H16" s="34" t="s">
        <v>25</v>
      </c>
      <c r="I16" s="34"/>
      <c r="J16" s="34"/>
      <c r="K16" s="35" t="s">
        <v>26</v>
      </c>
      <c r="L16" s="34"/>
      <c r="M16" s="36"/>
      <c r="N16" s="34" t="s">
        <v>27</v>
      </c>
      <c r="O16" s="34"/>
      <c r="P16" s="34"/>
    </row>
    <row r="17" spans="2:16" x14ac:dyDescent="0.3">
      <c r="B17" s="31"/>
      <c r="C17" s="2" t="s">
        <v>5</v>
      </c>
      <c r="D17" s="6">
        <v>5280</v>
      </c>
      <c r="E17" s="9">
        <v>0.72</v>
      </c>
      <c r="H17" s="12" t="s">
        <v>18</v>
      </c>
      <c r="I17" s="12" t="s">
        <v>19</v>
      </c>
      <c r="J17" s="12" t="s">
        <v>21</v>
      </c>
      <c r="K17" s="17" t="s">
        <v>18</v>
      </c>
      <c r="L17" s="12" t="s">
        <v>19</v>
      </c>
      <c r="M17" s="13" t="s">
        <v>21</v>
      </c>
      <c r="N17" s="12" t="s">
        <v>18</v>
      </c>
      <c r="O17" s="12" t="s">
        <v>19</v>
      </c>
      <c r="P17" s="12" t="s">
        <v>21</v>
      </c>
    </row>
    <row r="18" spans="2:16" ht="17.25" thickBot="1" x14ac:dyDescent="0.35">
      <c r="B18" s="33"/>
      <c r="C18" s="3"/>
      <c r="D18" s="7"/>
      <c r="E18" s="10"/>
      <c r="H18" s="14" t="s">
        <v>8</v>
      </c>
      <c r="I18" s="15">
        <v>20107</v>
      </c>
      <c r="J18" s="14">
        <f t="shared" ref="J18:J28" si="3">ROUND((I18/I$29)*100,2)</f>
        <v>2.73</v>
      </c>
      <c r="K18" s="18" t="s">
        <v>8</v>
      </c>
      <c r="L18" s="15">
        <v>32241</v>
      </c>
      <c r="M18" s="16">
        <f t="shared" ref="M18:M28" si="4">ROUND((L18/L$29)*100,2)</f>
        <v>3.39</v>
      </c>
      <c r="N18" s="14" t="s">
        <v>8</v>
      </c>
      <c r="O18" s="15">
        <v>32392</v>
      </c>
      <c r="P18" s="14">
        <f t="shared" ref="P18:P28" si="5">ROUND((O18/O$29)*100,2)</f>
        <v>3.28</v>
      </c>
    </row>
    <row r="19" spans="2:16" x14ac:dyDescent="0.3">
      <c r="B19" s="32">
        <v>2022</v>
      </c>
      <c r="C19" s="4" t="s">
        <v>2</v>
      </c>
      <c r="D19" s="8">
        <v>1310</v>
      </c>
      <c r="E19" s="11">
        <v>0.14000000000000001</v>
      </c>
      <c r="H19" s="14" t="s">
        <v>9</v>
      </c>
      <c r="I19" s="15">
        <v>26389</v>
      </c>
      <c r="J19" s="14">
        <f t="shared" si="3"/>
        <v>3.58</v>
      </c>
      <c r="K19" s="18" t="s">
        <v>9</v>
      </c>
      <c r="L19" s="15">
        <v>36800</v>
      </c>
      <c r="M19" s="16">
        <f t="shared" si="4"/>
        <v>3.86</v>
      </c>
      <c r="N19" s="14" t="s">
        <v>9</v>
      </c>
      <c r="O19" s="15">
        <v>42299</v>
      </c>
      <c r="P19" s="14">
        <f t="shared" si="5"/>
        <v>4.28</v>
      </c>
    </row>
    <row r="20" spans="2:16" x14ac:dyDescent="0.3">
      <c r="B20" s="31"/>
      <c r="C20" s="2" t="s">
        <v>3</v>
      </c>
      <c r="D20" s="6">
        <v>945837</v>
      </c>
      <c r="E20" s="9">
        <v>99.32</v>
      </c>
      <c r="H20" s="14" t="s">
        <v>10</v>
      </c>
      <c r="I20" s="15">
        <v>8093</v>
      </c>
      <c r="J20" s="14">
        <f t="shared" si="3"/>
        <v>1.1000000000000001</v>
      </c>
      <c r="K20" s="18" t="s">
        <v>10</v>
      </c>
      <c r="L20" s="15">
        <v>9775</v>
      </c>
      <c r="M20" s="16">
        <f t="shared" si="4"/>
        <v>1.03</v>
      </c>
      <c r="N20" s="14" t="s">
        <v>10</v>
      </c>
      <c r="O20" s="15">
        <v>11621</v>
      </c>
      <c r="P20" s="14">
        <f t="shared" si="5"/>
        <v>1.18</v>
      </c>
    </row>
    <row r="21" spans="2:16" x14ac:dyDescent="0.3">
      <c r="B21" s="31"/>
      <c r="C21" s="2" t="s">
        <v>5</v>
      </c>
      <c r="D21" s="6">
        <v>5174</v>
      </c>
      <c r="E21" s="9">
        <v>0.54</v>
      </c>
      <c r="H21" s="14" t="s">
        <v>11</v>
      </c>
      <c r="I21" s="15">
        <v>92258</v>
      </c>
      <c r="J21" s="14">
        <f t="shared" si="3"/>
        <v>12.52</v>
      </c>
      <c r="K21" s="18" t="s">
        <v>11</v>
      </c>
      <c r="L21" s="15">
        <v>123918</v>
      </c>
      <c r="M21" s="16">
        <f t="shared" si="4"/>
        <v>13.01</v>
      </c>
      <c r="N21" s="14" t="s">
        <v>11</v>
      </c>
      <c r="O21" s="15">
        <v>127180</v>
      </c>
      <c r="P21" s="14">
        <f t="shared" si="5"/>
        <v>12.87</v>
      </c>
    </row>
    <row r="22" spans="2:16" ht="17.25" thickBot="1" x14ac:dyDescent="0.35">
      <c r="B22" s="33"/>
      <c r="C22" s="3"/>
      <c r="D22" s="7"/>
      <c r="E22" s="10"/>
      <c r="H22" s="14" t="s">
        <v>12</v>
      </c>
      <c r="I22" s="15">
        <v>59827</v>
      </c>
      <c r="J22" s="14">
        <f t="shared" si="3"/>
        <v>8.1199999999999992</v>
      </c>
      <c r="K22" s="18" t="s">
        <v>12</v>
      </c>
      <c r="L22" s="15">
        <v>74669</v>
      </c>
      <c r="M22" s="16">
        <f t="shared" si="4"/>
        <v>7.84</v>
      </c>
      <c r="N22" s="14" t="s">
        <v>12</v>
      </c>
      <c r="O22" s="15">
        <v>80059</v>
      </c>
      <c r="P22" s="14">
        <f t="shared" si="5"/>
        <v>8.1</v>
      </c>
    </row>
    <row r="23" spans="2:16" x14ac:dyDescent="0.3">
      <c r="B23" s="32">
        <v>2023</v>
      </c>
      <c r="C23" s="4" t="s">
        <v>2</v>
      </c>
      <c r="D23" s="8">
        <v>127</v>
      </c>
      <c r="E23" s="11">
        <v>0.01</v>
      </c>
      <c r="H23" s="14" t="s">
        <v>13</v>
      </c>
      <c r="I23" s="15">
        <v>39463</v>
      </c>
      <c r="J23" s="14">
        <f t="shared" si="3"/>
        <v>5.35</v>
      </c>
      <c r="K23" s="18" t="s">
        <v>13</v>
      </c>
      <c r="L23" s="15">
        <v>55229</v>
      </c>
      <c r="M23" s="16">
        <f t="shared" si="4"/>
        <v>5.8</v>
      </c>
      <c r="N23" s="14" t="s">
        <v>13</v>
      </c>
      <c r="O23" s="15">
        <v>56815</v>
      </c>
      <c r="P23" s="14">
        <f t="shared" si="5"/>
        <v>5.75</v>
      </c>
    </row>
    <row r="24" spans="2:16" x14ac:dyDescent="0.3">
      <c r="B24" s="31"/>
      <c r="C24" s="2" t="s">
        <v>3</v>
      </c>
      <c r="D24" s="6">
        <v>987134</v>
      </c>
      <c r="E24" s="9">
        <v>99.91</v>
      </c>
      <c r="H24" s="14" t="s">
        <v>14</v>
      </c>
      <c r="I24" s="15">
        <v>26691</v>
      </c>
      <c r="J24" s="14">
        <f t="shared" si="3"/>
        <v>3.62</v>
      </c>
      <c r="K24" s="18" t="s">
        <v>14</v>
      </c>
      <c r="L24" s="15">
        <v>38410</v>
      </c>
      <c r="M24" s="16">
        <f t="shared" si="4"/>
        <v>4.03</v>
      </c>
      <c r="N24" s="14" t="s">
        <v>14</v>
      </c>
      <c r="O24" s="15">
        <v>41062</v>
      </c>
      <c r="P24" s="14">
        <f t="shared" si="5"/>
        <v>4.16</v>
      </c>
    </row>
    <row r="25" spans="2:16" x14ac:dyDescent="0.3">
      <c r="B25" s="31"/>
      <c r="C25" s="2" t="s">
        <v>5</v>
      </c>
      <c r="D25" s="6">
        <v>806</v>
      </c>
      <c r="E25" s="9">
        <v>0.08</v>
      </c>
      <c r="H25" s="14" t="s">
        <v>15</v>
      </c>
      <c r="I25" s="15">
        <v>33733</v>
      </c>
      <c r="J25" s="14">
        <f t="shared" si="3"/>
        <v>4.58</v>
      </c>
      <c r="K25" s="18" t="s">
        <v>15</v>
      </c>
      <c r="L25" s="15">
        <v>38654</v>
      </c>
      <c r="M25" s="16">
        <f t="shared" si="4"/>
        <v>4.0599999999999996</v>
      </c>
      <c r="N25" s="14" t="s">
        <v>15</v>
      </c>
      <c r="O25" s="15">
        <v>40914</v>
      </c>
      <c r="P25" s="14">
        <f t="shared" si="5"/>
        <v>4.1399999999999997</v>
      </c>
    </row>
    <row r="26" spans="2:16" ht="17.25" thickBot="1" x14ac:dyDescent="0.35">
      <c r="B26" s="33"/>
      <c r="C26" s="3"/>
      <c r="D26" s="7"/>
      <c r="E26" s="10"/>
      <c r="H26" s="14" t="s">
        <v>16</v>
      </c>
      <c r="I26" s="15">
        <v>380181</v>
      </c>
      <c r="J26" s="14">
        <f t="shared" si="3"/>
        <v>51.58</v>
      </c>
      <c r="K26" s="18" t="s">
        <v>16</v>
      </c>
      <c r="L26" s="15">
        <v>480502</v>
      </c>
      <c r="M26" s="16">
        <f t="shared" si="4"/>
        <v>50.46</v>
      </c>
      <c r="N26" s="14" t="s">
        <v>16</v>
      </c>
      <c r="O26" s="15">
        <v>485170</v>
      </c>
      <c r="P26" s="14">
        <f t="shared" si="5"/>
        <v>49.1</v>
      </c>
    </row>
    <row r="27" spans="2:16" x14ac:dyDescent="0.3">
      <c r="H27" s="14" t="s">
        <v>17</v>
      </c>
      <c r="I27" s="15">
        <v>48079</v>
      </c>
      <c r="J27" s="14">
        <f t="shared" si="3"/>
        <v>6.52</v>
      </c>
      <c r="K27" s="18" t="s">
        <v>17</v>
      </c>
      <c r="L27" s="15">
        <v>59651</v>
      </c>
      <c r="M27" s="16">
        <f t="shared" si="4"/>
        <v>6.26</v>
      </c>
      <c r="N27" s="14" t="s">
        <v>17</v>
      </c>
      <c r="O27" s="15">
        <v>68151</v>
      </c>
      <c r="P27" s="14">
        <f t="shared" si="5"/>
        <v>6.9</v>
      </c>
    </row>
    <row r="28" spans="2:16" x14ac:dyDescent="0.3">
      <c r="H28" s="14" t="s">
        <v>20</v>
      </c>
      <c r="I28" s="15">
        <v>2303</v>
      </c>
      <c r="J28" s="14">
        <f t="shared" si="3"/>
        <v>0.31</v>
      </c>
      <c r="K28" s="18" t="s">
        <v>20</v>
      </c>
      <c r="L28" s="15">
        <v>2472</v>
      </c>
      <c r="M28" s="16">
        <f t="shared" si="4"/>
        <v>0.26</v>
      </c>
      <c r="N28" s="14" t="s">
        <v>20</v>
      </c>
      <c r="O28" s="15">
        <v>2404</v>
      </c>
      <c r="P28" s="14">
        <f t="shared" si="5"/>
        <v>0.24</v>
      </c>
    </row>
    <row r="29" spans="2:16" x14ac:dyDescent="0.3">
      <c r="H29" s="19"/>
      <c r="I29" s="20">
        <f>SUM(I18:I28)</f>
        <v>737124</v>
      </c>
      <c r="J29" s="19"/>
      <c r="K29" s="21"/>
      <c r="L29" s="20">
        <f>SUM(L18:L28)</f>
        <v>952321</v>
      </c>
      <c r="M29" s="22"/>
      <c r="N29" s="19"/>
      <c r="O29" s="20">
        <f>SUM(O18:O28)</f>
        <v>988067</v>
      </c>
      <c r="P29" s="19"/>
    </row>
  </sheetData>
  <mergeCells count="12">
    <mergeCell ref="B23:B26"/>
    <mergeCell ref="H2:J2"/>
    <mergeCell ref="K2:M2"/>
    <mergeCell ref="N2:P2"/>
    <mergeCell ref="H16:J16"/>
    <mergeCell ref="K16:M16"/>
    <mergeCell ref="N16:P16"/>
    <mergeCell ref="B3:B6"/>
    <mergeCell ref="B7:B10"/>
    <mergeCell ref="B11:B14"/>
    <mergeCell ref="B15:B18"/>
    <mergeCell ref="B19:B2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29"/>
  <sheetViews>
    <sheetView topLeftCell="C1" workbookViewId="0">
      <selection activeCell="K15" sqref="K15"/>
    </sheetView>
  </sheetViews>
  <sheetFormatPr defaultRowHeight="16.5" x14ac:dyDescent="0.3"/>
  <cols>
    <col min="1" max="1" width="2.5" customWidth="1"/>
    <col min="3" max="3" width="11" style="1" bestFit="1" customWidth="1"/>
    <col min="4" max="4" width="11.75" customWidth="1"/>
    <col min="5" max="5" width="9.875" bestFit="1" customWidth="1"/>
  </cols>
  <sheetData>
    <row r="2" spans="2:17" x14ac:dyDescent="0.3">
      <c r="B2" s="5" t="s">
        <v>6</v>
      </c>
      <c r="C2" s="5" t="s">
        <v>0</v>
      </c>
      <c r="D2" s="5" t="s">
        <v>1</v>
      </c>
      <c r="E2" s="5" t="s">
        <v>7</v>
      </c>
      <c r="H2" s="34" t="s">
        <v>22</v>
      </c>
      <c r="I2" s="34"/>
      <c r="J2" s="34"/>
      <c r="K2" s="35" t="s">
        <v>23</v>
      </c>
      <c r="L2" s="34"/>
      <c r="M2" s="36"/>
      <c r="N2" s="34" t="s">
        <v>24</v>
      </c>
      <c r="O2" s="34"/>
      <c r="P2" s="34"/>
    </row>
    <row r="3" spans="2:17" x14ac:dyDescent="0.3">
      <c r="B3" s="31">
        <v>2018</v>
      </c>
      <c r="C3" s="2" t="s">
        <v>2</v>
      </c>
      <c r="D3" s="6">
        <v>100633</v>
      </c>
      <c r="E3" s="9">
        <v>33.64</v>
      </c>
      <c r="H3" s="12" t="s">
        <v>18</v>
      </c>
      <c r="I3" s="12" t="s">
        <v>19</v>
      </c>
      <c r="J3" s="12" t="s">
        <v>21</v>
      </c>
      <c r="K3" s="17" t="s">
        <v>18</v>
      </c>
      <c r="L3" s="12" t="s">
        <v>19</v>
      </c>
      <c r="M3" s="13" t="s">
        <v>21</v>
      </c>
      <c r="N3" s="12" t="s">
        <v>18</v>
      </c>
      <c r="O3" s="12" t="s">
        <v>19</v>
      </c>
      <c r="P3" s="12" t="s">
        <v>21</v>
      </c>
    </row>
    <row r="4" spans="2:17" x14ac:dyDescent="0.3">
      <c r="B4" s="31"/>
      <c r="C4" s="2" t="s">
        <v>3</v>
      </c>
      <c r="D4" s="6">
        <v>198511</v>
      </c>
      <c r="E4" s="9">
        <v>66.36</v>
      </c>
      <c r="H4" s="14" t="s">
        <v>8</v>
      </c>
      <c r="I4" s="15">
        <v>7049</v>
      </c>
      <c r="J4" s="14">
        <f t="shared" ref="J4:J14" si="0">ROUND((I4/I$15)*100,2)</f>
        <v>2.36</v>
      </c>
      <c r="K4" s="18" t="s">
        <v>8</v>
      </c>
      <c r="L4" s="15">
        <v>7236</v>
      </c>
      <c r="M4" s="16">
        <f t="shared" ref="M4:M14" si="1">ROUND((L4/L$15)*100,2)</f>
        <v>2.21</v>
      </c>
      <c r="N4" s="14" t="s">
        <v>8</v>
      </c>
      <c r="O4" s="15">
        <v>3028</v>
      </c>
      <c r="P4" s="14">
        <f t="shared" ref="P4:P14" si="2">ROUND((O4/O$15)*100,2)</f>
        <v>1.9</v>
      </c>
    </row>
    <row r="5" spans="2:17" x14ac:dyDescent="0.3">
      <c r="B5" s="31"/>
      <c r="C5" s="2"/>
      <c r="D5" s="6"/>
      <c r="E5" s="9"/>
      <c r="H5" s="14" t="s">
        <v>9</v>
      </c>
      <c r="I5" s="15">
        <v>7746</v>
      </c>
      <c r="J5" s="14">
        <f t="shared" si="0"/>
        <v>2.59</v>
      </c>
      <c r="K5" s="18" t="s">
        <v>9</v>
      </c>
      <c r="L5" s="15">
        <v>8587</v>
      </c>
      <c r="M5" s="16">
        <f t="shared" si="1"/>
        <v>2.62</v>
      </c>
      <c r="N5" s="14" t="s">
        <v>9</v>
      </c>
      <c r="O5" s="15">
        <v>3603</v>
      </c>
      <c r="P5" s="14">
        <f t="shared" si="2"/>
        <v>2.2599999999999998</v>
      </c>
    </row>
    <row r="6" spans="2:17" ht="17.25" thickBot="1" x14ac:dyDescent="0.35">
      <c r="B6" s="33"/>
      <c r="C6" s="3"/>
      <c r="D6" s="7"/>
      <c r="E6" s="10"/>
      <c r="H6" s="14" t="s">
        <v>10</v>
      </c>
      <c r="I6" s="15">
        <v>3822</v>
      </c>
      <c r="J6" s="14">
        <f t="shared" si="0"/>
        <v>1.28</v>
      </c>
      <c r="K6" s="18" t="s">
        <v>10</v>
      </c>
      <c r="L6" s="15">
        <v>4423</v>
      </c>
      <c r="M6" s="16">
        <f t="shared" si="1"/>
        <v>1.35</v>
      </c>
      <c r="N6" s="14" t="s">
        <v>10</v>
      </c>
      <c r="O6" s="15">
        <v>2134</v>
      </c>
      <c r="P6" s="14">
        <f t="shared" si="2"/>
        <v>1.34</v>
      </c>
    </row>
    <row r="7" spans="2:17" x14ac:dyDescent="0.3">
      <c r="B7" s="32">
        <v>2019</v>
      </c>
      <c r="C7" s="4" t="s">
        <v>2</v>
      </c>
      <c r="D7" s="8">
        <v>88180</v>
      </c>
      <c r="E7" s="11">
        <v>26.92</v>
      </c>
      <c r="H7" s="14" t="s">
        <v>11</v>
      </c>
      <c r="I7" s="15">
        <v>35403</v>
      </c>
      <c r="J7" s="14">
        <f t="shared" si="0"/>
        <v>11.83</v>
      </c>
      <c r="K7" s="18" t="s">
        <v>11</v>
      </c>
      <c r="L7" s="15">
        <v>39795</v>
      </c>
      <c r="M7" s="16">
        <f t="shared" si="1"/>
        <v>12.15</v>
      </c>
      <c r="N7" s="14" t="s">
        <v>11</v>
      </c>
      <c r="O7" s="15">
        <v>18779</v>
      </c>
      <c r="P7" s="14">
        <f t="shared" si="2"/>
        <v>11.79</v>
      </c>
    </row>
    <row r="8" spans="2:17" x14ac:dyDescent="0.3">
      <c r="B8" s="31"/>
      <c r="C8" s="2" t="s">
        <v>3</v>
      </c>
      <c r="D8" s="6">
        <v>239431</v>
      </c>
      <c r="E8" s="9">
        <v>73.08</v>
      </c>
      <c r="H8" s="14" t="s">
        <v>12</v>
      </c>
      <c r="I8" s="15">
        <v>28817</v>
      </c>
      <c r="J8" s="14">
        <f t="shared" si="0"/>
        <v>9.6300000000000008</v>
      </c>
      <c r="K8" s="18" t="s">
        <v>12</v>
      </c>
      <c r="L8" s="15">
        <v>30155</v>
      </c>
      <c r="M8" s="16">
        <f t="shared" si="1"/>
        <v>9.1999999999999993</v>
      </c>
      <c r="N8" s="14" t="s">
        <v>12</v>
      </c>
      <c r="O8" s="15">
        <v>14873</v>
      </c>
      <c r="P8" s="14">
        <f t="shared" si="2"/>
        <v>9.34</v>
      </c>
    </row>
    <row r="9" spans="2:17" x14ac:dyDescent="0.3">
      <c r="B9" s="31"/>
      <c r="C9" s="2"/>
      <c r="D9" s="6"/>
      <c r="E9" s="9"/>
      <c r="H9" s="14" t="s">
        <v>13</v>
      </c>
      <c r="I9" s="15">
        <v>14016</v>
      </c>
      <c r="J9" s="14">
        <f t="shared" si="0"/>
        <v>4.6900000000000004</v>
      </c>
      <c r="K9" s="18" t="s">
        <v>13</v>
      </c>
      <c r="L9" s="15">
        <v>16238</v>
      </c>
      <c r="M9" s="16">
        <f t="shared" si="1"/>
        <v>4.96</v>
      </c>
      <c r="N9" s="14" t="s">
        <v>13</v>
      </c>
      <c r="O9" s="15">
        <v>7311</v>
      </c>
      <c r="P9" s="14">
        <f t="shared" si="2"/>
        <v>4.59</v>
      </c>
    </row>
    <row r="10" spans="2:17" ht="17.25" thickBot="1" x14ac:dyDescent="0.35">
      <c r="B10" s="33"/>
      <c r="C10" s="3"/>
      <c r="D10" s="7"/>
      <c r="E10" s="10"/>
      <c r="H10" s="14" t="s">
        <v>14</v>
      </c>
      <c r="I10" s="15">
        <v>7475</v>
      </c>
      <c r="J10" s="14">
        <f t="shared" si="0"/>
        <v>2.5</v>
      </c>
      <c r="K10" s="18" t="s">
        <v>14</v>
      </c>
      <c r="L10" s="15">
        <v>8155</v>
      </c>
      <c r="M10" s="16">
        <f t="shared" si="1"/>
        <v>2.4900000000000002</v>
      </c>
      <c r="N10" s="14" t="s">
        <v>14</v>
      </c>
      <c r="O10" s="15">
        <v>3377</v>
      </c>
      <c r="P10" s="14">
        <f t="shared" si="2"/>
        <v>2.12</v>
      </c>
    </row>
    <row r="11" spans="2:17" x14ac:dyDescent="0.3">
      <c r="B11" s="32">
        <v>2020</v>
      </c>
      <c r="C11" s="4" t="s">
        <v>2</v>
      </c>
      <c r="D11" s="8">
        <v>27652</v>
      </c>
      <c r="E11" s="11">
        <v>17.37</v>
      </c>
      <c r="H11" s="14" t="s">
        <v>15</v>
      </c>
      <c r="I11" s="15">
        <v>14974</v>
      </c>
      <c r="J11" s="14">
        <f t="shared" si="0"/>
        <v>5.01</v>
      </c>
      <c r="K11" s="18" t="s">
        <v>15</v>
      </c>
      <c r="L11" s="15">
        <v>16651</v>
      </c>
      <c r="M11" s="16">
        <f t="shared" si="1"/>
        <v>5.08</v>
      </c>
      <c r="N11" s="14" t="s">
        <v>15</v>
      </c>
      <c r="O11" s="15">
        <v>7151</v>
      </c>
      <c r="P11" s="14">
        <f t="shared" si="2"/>
        <v>4.49</v>
      </c>
    </row>
    <row r="12" spans="2:17" x14ac:dyDescent="0.3">
      <c r="B12" s="31"/>
      <c r="C12" s="2" t="s">
        <v>3</v>
      </c>
      <c r="D12" s="6">
        <v>131575</v>
      </c>
      <c r="E12" s="9">
        <v>82.63</v>
      </c>
      <c r="H12" s="14" t="s">
        <v>16</v>
      </c>
      <c r="I12" s="15">
        <v>150865</v>
      </c>
      <c r="J12" s="14">
        <f t="shared" si="0"/>
        <v>50.43</v>
      </c>
      <c r="K12" s="18" t="s">
        <v>16</v>
      </c>
      <c r="L12" s="15">
        <v>165682</v>
      </c>
      <c r="M12" s="16">
        <f t="shared" si="1"/>
        <v>50.57</v>
      </c>
      <c r="N12" s="14" t="s">
        <v>16</v>
      </c>
      <c r="O12" s="15">
        <v>85434</v>
      </c>
      <c r="P12" s="14">
        <f t="shared" si="2"/>
        <v>53.66</v>
      </c>
    </row>
    <row r="13" spans="2:17" x14ac:dyDescent="0.3">
      <c r="B13" s="31"/>
      <c r="C13" s="2"/>
      <c r="D13" s="6"/>
      <c r="E13" s="9"/>
      <c r="H13" s="14" t="s">
        <v>17</v>
      </c>
      <c r="I13" s="15">
        <v>27399</v>
      </c>
      <c r="J13" s="14">
        <f t="shared" si="0"/>
        <v>9.16</v>
      </c>
      <c r="K13" s="18" t="s">
        <v>17</v>
      </c>
      <c r="L13" s="15">
        <v>29384</v>
      </c>
      <c r="M13" s="16">
        <f t="shared" si="1"/>
        <v>8.9700000000000006</v>
      </c>
      <c r="N13" s="14" t="s">
        <v>17</v>
      </c>
      <c r="O13" s="15">
        <v>13088</v>
      </c>
      <c r="P13" s="14">
        <f t="shared" si="2"/>
        <v>8.2200000000000006</v>
      </c>
    </row>
    <row r="14" spans="2:17" ht="17.25" thickBot="1" x14ac:dyDescent="0.35">
      <c r="B14" s="33"/>
      <c r="C14" s="3"/>
      <c r="D14" s="7"/>
      <c r="E14" s="10"/>
      <c r="H14" s="14" t="s">
        <v>20</v>
      </c>
      <c r="I14" s="15">
        <v>1578</v>
      </c>
      <c r="J14" s="14">
        <f t="shared" si="0"/>
        <v>0.53</v>
      </c>
      <c r="K14" s="18" t="s">
        <v>20</v>
      </c>
      <c r="L14" s="15">
        <v>1305</v>
      </c>
      <c r="M14" s="16">
        <f t="shared" si="1"/>
        <v>0.4</v>
      </c>
      <c r="N14" s="14" t="s">
        <v>20</v>
      </c>
      <c r="O14" s="15">
        <v>449</v>
      </c>
      <c r="P14" s="14">
        <f t="shared" si="2"/>
        <v>0.28000000000000003</v>
      </c>
    </row>
    <row r="15" spans="2:17" x14ac:dyDescent="0.3">
      <c r="B15" s="32">
        <v>2021</v>
      </c>
      <c r="C15" s="4" t="s">
        <v>2</v>
      </c>
      <c r="D15" s="8">
        <v>36327</v>
      </c>
      <c r="E15" s="11">
        <v>11.15</v>
      </c>
      <c r="H15" s="19"/>
      <c r="I15" s="20">
        <f>SUM(I4:I14)</f>
        <v>299144</v>
      </c>
      <c r="J15" s="19"/>
      <c r="K15" s="21"/>
      <c r="L15" s="20">
        <f>SUM(L4:L14)</f>
        <v>327611</v>
      </c>
      <c r="M15" s="22"/>
      <c r="N15" s="19"/>
      <c r="O15" s="20">
        <f>SUM(O4:O14)</f>
        <v>159227</v>
      </c>
      <c r="P15" s="19"/>
    </row>
    <row r="16" spans="2:17" x14ac:dyDescent="0.3">
      <c r="B16" s="31"/>
      <c r="C16" s="2" t="s">
        <v>3</v>
      </c>
      <c r="D16" s="6">
        <v>289576</v>
      </c>
      <c r="E16" s="9">
        <v>88.85</v>
      </c>
      <c r="H16" s="34" t="s">
        <v>25</v>
      </c>
      <c r="I16" s="34"/>
      <c r="J16" s="34"/>
      <c r="K16" s="35" t="s">
        <v>26</v>
      </c>
      <c r="L16" s="34"/>
      <c r="M16" s="36"/>
      <c r="N16" s="34" t="s">
        <v>27</v>
      </c>
      <c r="O16" s="34"/>
      <c r="P16" s="34"/>
    </row>
    <row r="17" spans="2:16" x14ac:dyDescent="0.3">
      <c r="B17" s="31"/>
      <c r="C17" s="2"/>
      <c r="D17" s="6"/>
      <c r="E17" s="9"/>
      <c r="H17" s="12" t="s">
        <v>18</v>
      </c>
      <c r="I17" s="12" t="s">
        <v>19</v>
      </c>
      <c r="J17" s="12" t="s">
        <v>21</v>
      </c>
      <c r="K17" s="17" t="s">
        <v>18</v>
      </c>
      <c r="L17" s="12" t="s">
        <v>19</v>
      </c>
      <c r="M17" s="13" t="s">
        <v>21</v>
      </c>
      <c r="N17" s="12" t="s">
        <v>18</v>
      </c>
      <c r="O17" s="12" t="s">
        <v>19</v>
      </c>
      <c r="P17" s="12" t="s">
        <v>21</v>
      </c>
    </row>
    <row r="18" spans="2:16" ht="17.25" thickBot="1" x14ac:dyDescent="0.35">
      <c r="B18" s="33"/>
      <c r="C18" s="3"/>
      <c r="D18" s="7"/>
      <c r="E18" s="10"/>
      <c r="H18" s="14" t="s">
        <v>8</v>
      </c>
      <c r="I18" s="15">
        <v>6002</v>
      </c>
      <c r="J18" s="14">
        <f t="shared" ref="J18:J28" si="3">ROUND((I18/I$29)*100,2)</f>
        <v>1.84</v>
      </c>
      <c r="K18" s="18" t="s">
        <v>8</v>
      </c>
      <c r="L18" s="15">
        <v>6427</v>
      </c>
      <c r="M18" s="16">
        <f t="shared" ref="M18:M28" si="4">ROUND((L18/L$29)*100,2)</f>
        <v>1.83</v>
      </c>
      <c r="N18" s="14" t="s">
        <v>8</v>
      </c>
      <c r="O18" s="15">
        <v>6249</v>
      </c>
      <c r="P18" s="14">
        <f t="shared" ref="P18:P28" si="5">ROUND((O18/O$29)*100,2)</f>
        <v>1.88</v>
      </c>
    </row>
    <row r="19" spans="2:16" x14ac:dyDescent="0.3">
      <c r="B19" s="32">
        <v>2022</v>
      </c>
      <c r="C19" s="4" t="s">
        <v>2</v>
      </c>
      <c r="D19" s="8">
        <v>23314</v>
      </c>
      <c r="E19" s="11">
        <v>6.64</v>
      </c>
      <c r="H19" s="14" t="s">
        <v>9</v>
      </c>
      <c r="I19" s="15">
        <v>6981</v>
      </c>
      <c r="J19" s="14">
        <f t="shared" si="3"/>
        <v>2.14</v>
      </c>
      <c r="K19" s="18" t="s">
        <v>9</v>
      </c>
      <c r="L19" s="15">
        <v>8491</v>
      </c>
      <c r="M19" s="16">
        <f t="shared" si="4"/>
        <v>2.42</v>
      </c>
      <c r="N19" s="14" t="s">
        <v>9</v>
      </c>
      <c r="O19" s="15">
        <v>9390</v>
      </c>
      <c r="P19" s="14">
        <f t="shared" si="5"/>
        <v>2.83</v>
      </c>
    </row>
    <row r="20" spans="2:16" x14ac:dyDescent="0.3">
      <c r="B20" s="31"/>
      <c r="C20" s="2" t="s">
        <v>3</v>
      </c>
      <c r="D20" s="6">
        <v>327903</v>
      </c>
      <c r="E20" s="9">
        <v>93.36</v>
      </c>
      <c r="H20" s="14" t="s">
        <v>10</v>
      </c>
      <c r="I20" s="15">
        <v>4875</v>
      </c>
      <c r="J20" s="14">
        <f t="shared" si="3"/>
        <v>1.5</v>
      </c>
      <c r="K20" s="18" t="s">
        <v>10</v>
      </c>
      <c r="L20" s="15">
        <v>5464</v>
      </c>
      <c r="M20" s="16">
        <f t="shared" si="4"/>
        <v>1.56</v>
      </c>
      <c r="N20" s="14" t="s">
        <v>10</v>
      </c>
      <c r="O20" s="15">
        <v>6004</v>
      </c>
      <c r="P20" s="14">
        <f t="shared" si="5"/>
        <v>1.81</v>
      </c>
    </row>
    <row r="21" spans="2:16" x14ac:dyDescent="0.3">
      <c r="B21" s="31"/>
      <c r="C21" s="2"/>
      <c r="D21" s="6"/>
      <c r="E21" s="9"/>
      <c r="H21" s="14" t="s">
        <v>11</v>
      </c>
      <c r="I21" s="15">
        <v>38440</v>
      </c>
      <c r="J21" s="14">
        <f t="shared" si="3"/>
        <v>11.79</v>
      </c>
      <c r="K21" s="18" t="s">
        <v>11</v>
      </c>
      <c r="L21" s="15">
        <v>39965</v>
      </c>
      <c r="M21" s="16">
        <f t="shared" si="4"/>
        <v>11.38</v>
      </c>
      <c r="N21" s="14" t="s">
        <v>11</v>
      </c>
      <c r="O21" s="15">
        <v>39746</v>
      </c>
      <c r="P21" s="14">
        <f t="shared" si="5"/>
        <v>11.98</v>
      </c>
    </row>
    <row r="22" spans="2:16" ht="17.25" thickBot="1" x14ac:dyDescent="0.35">
      <c r="B22" s="33"/>
      <c r="C22" s="3"/>
      <c r="D22" s="7"/>
      <c r="E22" s="10"/>
      <c r="H22" s="14" t="s">
        <v>12</v>
      </c>
      <c r="I22" s="15">
        <v>32385</v>
      </c>
      <c r="J22" s="14">
        <f t="shared" si="3"/>
        <v>9.94</v>
      </c>
      <c r="K22" s="18" t="s">
        <v>12</v>
      </c>
      <c r="L22" s="15">
        <v>34673</v>
      </c>
      <c r="M22" s="16">
        <f t="shared" si="4"/>
        <v>9.8699999999999992</v>
      </c>
      <c r="N22" s="14" t="s">
        <v>12</v>
      </c>
      <c r="O22" s="15">
        <v>32361</v>
      </c>
      <c r="P22" s="14">
        <f t="shared" si="5"/>
        <v>9.75</v>
      </c>
    </row>
    <row r="23" spans="2:16" x14ac:dyDescent="0.3">
      <c r="B23" s="32">
        <v>2023</v>
      </c>
      <c r="C23" s="4" t="s">
        <v>2</v>
      </c>
      <c r="D23" s="8">
        <v>8433</v>
      </c>
      <c r="E23" s="11">
        <v>2.54</v>
      </c>
      <c r="H23" s="14" t="s">
        <v>13</v>
      </c>
      <c r="I23" s="15">
        <v>13600</v>
      </c>
      <c r="J23" s="14">
        <f t="shared" si="3"/>
        <v>4.17</v>
      </c>
      <c r="K23" s="18" t="s">
        <v>13</v>
      </c>
      <c r="L23" s="15">
        <v>15443</v>
      </c>
      <c r="M23" s="16">
        <f t="shared" si="4"/>
        <v>4.4000000000000004</v>
      </c>
      <c r="N23" s="14" t="s">
        <v>13</v>
      </c>
      <c r="O23" s="15">
        <v>16007</v>
      </c>
      <c r="P23" s="14">
        <f t="shared" si="5"/>
        <v>4.82</v>
      </c>
    </row>
    <row r="24" spans="2:16" x14ac:dyDescent="0.3">
      <c r="B24" s="31"/>
      <c r="C24" s="2" t="s">
        <v>3</v>
      </c>
      <c r="D24" s="6">
        <v>323442</v>
      </c>
      <c r="E24" s="9">
        <v>97.46</v>
      </c>
      <c r="H24" s="14" t="s">
        <v>14</v>
      </c>
      <c r="I24" s="15">
        <v>7335</v>
      </c>
      <c r="J24" s="14">
        <f t="shared" si="3"/>
        <v>2.25</v>
      </c>
      <c r="K24" s="18" t="s">
        <v>14</v>
      </c>
      <c r="L24" s="15">
        <v>8466</v>
      </c>
      <c r="M24" s="16">
        <f t="shared" si="4"/>
        <v>2.41</v>
      </c>
      <c r="N24" s="14" t="s">
        <v>14</v>
      </c>
      <c r="O24" s="15">
        <v>8209</v>
      </c>
      <c r="P24" s="14">
        <f t="shared" si="5"/>
        <v>2.4700000000000002</v>
      </c>
    </row>
    <row r="25" spans="2:16" x14ac:dyDescent="0.3">
      <c r="B25" s="31"/>
      <c r="C25" s="2"/>
      <c r="D25" s="6"/>
      <c r="E25" s="9"/>
      <c r="H25" s="14" t="s">
        <v>15</v>
      </c>
      <c r="I25" s="15">
        <v>15210</v>
      </c>
      <c r="J25" s="14">
        <f t="shared" si="3"/>
        <v>4.67</v>
      </c>
      <c r="K25" s="18" t="s">
        <v>15</v>
      </c>
      <c r="L25" s="15">
        <v>16955</v>
      </c>
      <c r="M25" s="16">
        <f t="shared" si="4"/>
        <v>4.83</v>
      </c>
      <c r="N25" s="14" t="s">
        <v>15</v>
      </c>
      <c r="O25" s="15">
        <v>14844</v>
      </c>
      <c r="P25" s="14">
        <f t="shared" si="5"/>
        <v>4.47</v>
      </c>
    </row>
    <row r="26" spans="2:16" ht="17.25" thickBot="1" x14ac:dyDescent="0.35">
      <c r="B26" s="33"/>
      <c r="C26" s="3"/>
      <c r="D26" s="7"/>
      <c r="E26" s="10"/>
      <c r="H26" s="14" t="s">
        <v>16</v>
      </c>
      <c r="I26" s="15">
        <v>176819</v>
      </c>
      <c r="J26" s="14">
        <f t="shared" si="3"/>
        <v>54.26</v>
      </c>
      <c r="K26" s="18" t="s">
        <v>16</v>
      </c>
      <c r="L26" s="15">
        <v>188026</v>
      </c>
      <c r="M26" s="16">
        <f t="shared" si="4"/>
        <v>53.54</v>
      </c>
      <c r="N26" s="14" t="s">
        <v>16</v>
      </c>
      <c r="O26" s="15">
        <v>172240</v>
      </c>
      <c r="P26" s="14">
        <f t="shared" si="5"/>
        <v>51.9</v>
      </c>
    </row>
    <row r="27" spans="2:16" x14ac:dyDescent="0.3">
      <c r="H27" s="14" t="s">
        <v>17</v>
      </c>
      <c r="I27" s="15">
        <v>23538</v>
      </c>
      <c r="J27" s="14">
        <f t="shared" si="3"/>
        <v>7.22</v>
      </c>
      <c r="K27" s="18" t="s">
        <v>17</v>
      </c>
      <c r="L27" s="15">
        <v>26782</v>
      </c>
      <c r="M27" s="16">
        <f t="shared" si="4"/>
        <v>7.63</v>
      </c>
      <c r="N27" s="14" t="s">
        <v>17</v>
      </c>
      <c r="O27" s="15">
        <v>26509</v>
      </c>
      <c r="P27" s="14">
        <f t="shared" si="5"/>
        <v>7.99</v>
      </c>
    </row>
    <row r="28" spans="2:16" x14ac:dyDescent="0.3">
      <c r="H28" s="14" t="s">
        <v>20</v>
      </c>
      <c r="I28" s="15">
        <v>718</v>
      </c>
      <c r="J28" s="14">
        <f t="shared" si="3"/>
        <v>0.22</v>
      </c>
      <c r="K28" s="18" t="s">
        <v>20</v>
      </c>
      <c r="L28" s="15">
        <v>525</v>
      </c>
      <c r="M28" s="16">
        <f t="shared" si="4"/>
        <v>0.15</v>
      </c>
      <c r="N28" s="14" t="s">
        <v>20</v>
      </c>
      <c r="O28" s="15">
        <v>316</v>
      </c>
      <c r="P28" s="14">
        <f t="shared" si="5"/>
        <v>0.1</v>
      </c>
    </row>
    <row r="29" spans="2:16" x14ac:dyDescent="0.3">
      <c r="H29" s="19"/>
      <c r="I29" s="20">
        <f>SUM(I18:I28)</f>
        <v>325903</v>
      </c>
      <c r="J29" s="19"/>
      <c r="K29" s="21"/>
      <c r="L29" s="20">
        <f>SUM(L18:L28)</f>
        <v>351217</v>
      </c>
      <c r="M29" s="22"/>
      <c r="N29" s="19"/>
      <c r="O29" s="20">
        <f>SUM(O18:O28)</f>
        <v>331875</v>
      </c>
      <c r="P29" s="19"/>
    </row>
  </sheetData>
  <mergeCells count="12">
    <mergeCell ref="B23:B26"/>
    <mergeCell ref="H2:J2"/>
    <mergeCell ref="K2:M2"/>
    <mergeCell ref="N2:P2"/>
    <mergeCell ref="H16:J16"/>
    <mergeCell ref="K16:M16"/>
    <mergeCell ref="N16:P16"/>
    <mergeCell ref="B3:B6"/>
    <mergeCell ref="B7:B10"/>
    <mergeCell ref="B11:B14"/>
    <mergeCell ref="B15:B18"/>
    <mergeCell ref="B19:B2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29"/>
  <sheetViews>
    <sheetView topLeftCell="C1" workbookViewId="0">
      <selection activeCell="K15" sqref="K15"/>
    </sheetView>
  </sheetViews>
  <sheetFormatPr defaultRowHeight="16.5" x14ac:dyDescent="0.3"/>
  <cols>
    <col min="1" max="1" width="2.5" customWidth="1"/>
    <col min="3" max="3" width="11" style="1" bestFit="1" customWidth="1"/>
    <col min="4" max="4" width="11.75" customWidth="1"/>
    <col min="5" max="5" width="9.875" bestFit="1" customWidth="1"/>
  </cols>
  <sheetData>
    <row r="2" spans="2:17" x14ac:dyDescent="0.3">
      <c r="B2" s="5" t="s">
        <v>6</v>
      </c>
      <c r="C2" s="5" t="s">
        <v>0</v>
      </c>
      <c r="D2" s="5" t="s">
        <v>1</v>
      </c>
      <c r="E2" s="5" t="s">
        <v>7</v>
      </c>
      <c r="H2" s="34" t="s">
        <v>22</v>
      </c>
      <c r="I2" s="34"/>
      <c r="J2" s="34"/>
      <c r="K2" s="35" t="s">
        <v>23</v>
      </c>
      <c r="L2" s="34"/>
      <c r="M2" s="36"/>
      <c r="N2" s="34" t="s">
        <v>24</v>
      </c>
      <c r="O2" s="34"/>
      <c r="P2" s="34"/>
    </row>
    <row r="3" spans="2:17" x14ac:dyDescent="0.3">
      <c r="B3" s="31">
        <v>2018</v>
      </c>
      <c r="C3" s="2" t="s">
        <v>2</v>
      </c>
      <c r="D3" s="6">
        <v>24663</v>
      </c>
      <c r="E3" s="9">
        <v>2.57</v>
      </c>
      <c r="H3" s="12" t="s">
        <v>18</v>
      </c>
      <c r="I3" s="12" t="s">
        <v>19</v>
      </c>
      <c r="J3" s="12" t="s">
        <v>21</v>
      </c>
      <c r="K3" s="17" t="s">
        <v>18</v>
      </c>
      <c r="L3" s="12" t="s">
        <v>19</v>
      </c>
      <c r="M3" s="13" t="s">
        <v>21</v>
      </c>
      <c r="N3" s="12" t="s">
        <v>18</v>
      </c>
      <c r="O3" s="12" t="s">
        <v>19</v>
      </c>
      <c r="P3" s="12" t="s">
        <v>21</v>
      </c>
    </row>
    <row r="4" spans="2:17" x14ac:dyDescent="0.3">
      <c r="B4" s="31"/>
      <c r="C4" s="2" t="s">
        <v>3</v>
      </c>
      <c r="D4" s="6">
        <v>834358</v>
      </c>
      <c r="E4" s="9">
        <v>87.11</v>
      </c>
      <c r="H4" s="14" t="s">
        <v>8</v>
      </c>
      <c r="I4" s="15">
        <v>35619</v>
      </c>
      <c r="J4" s="14">
        <f t="shared" ref="J4:J14" si="0">ROUND((I4/I$15)*100,2)</f>
        <v>3.72</v>
      </c>
      <c r="K4" s="18" t="s">
        <v>8</v>
      </c>
      <c r="L4" s="15">
        <v>37117</v>
      </c>
      <c r="M4" s="16">
        <f t="shared" ref="M4:M14" si="1">ROUND((L4/L$15)*100,2)</f>
        <v>3.49</v>
      </c>
      <c r="N4" s="14" t="s">
        <v>8</v>
      </c>
      <c r="O4" s="15">
        <v>18808</v>
      </c>
      <c r="P4" s="14">
        <f t="shared" ref="P4:P14" si="2">ROUND((O4/O$15)*100,2)</f>
        <v>3.2</v>
      </c>
    </row>
    <row r="5" spans="2:17" x14ac:dyDescent="0.3">
      <c r="B5" s="31"/>
      <c r="C5" s="2" t="s">
        <v>4</v>
      </c>
      <c r="D5" s="6">
        <v>71757</v>
      </c>
      <c r="E5" s="9">
        <v>7.49</v>
      </c>
      <c r="H5" s="14" t="s">
        <v>9</v>
      </c>
      <c r="I5" s="15">
        <v>37105</v>
      </c>
      <c r="J5" s="14">
        <f t="shared" si="0"/>
        <v>3.87</v>
      </c>
      <c r="K5" s="18" t="s">
        <v>9</v>
      </c>
      <c r="L5" s="15">
        <v>41597</v>
      </c>
      <c r="M5" s="16">
        <f t="shared" si="1"/>
        <v>3.91</v>
      </c>
      <c r="N5" s="14" t="s">
        <v>9</v>
      </c>
      <c r="O5" s="15">
        <v>21307</v>
      </c>
      <c r="P5" s="14">
        <f t="shared" si="2"/>
        <v>3.63</v>
      </c>
    </row>
    <row r="6" spans="2:17" ht="17.25" thickBot="1" x14ac:dyDescent="0.35">
      <c r="B6" s="33"/>
      <c r="C6" s="3" t="s">
        <v>5</v>
      </c>
      <c r="D6" s="7">
        <v>27011</v>
      </c>
      <c r="E6" s="10">
        <v>2.82</v>
      </c>
      <c r="H6" s="14" t="s">
        <v>10</v>
      </c>
      <c r="I6" s="15">
        <v>12182</v>
      </c>
      <c r="J6" s="14">
        <f t="shared" si="0"/>
        <v>1.27</v>
      </c>
      <c r="K6" s="18" t="s">
        <v>10</v>
      </c>
      <c r="L6" s="15">
        <v>13997</v>
      </c>
      <c r="M6" s="16">
        <f t="shared" si="1"/>
        <v>1.31</v>
      </c>
      <c r="N6" s="14" t="s">
        <v>10</v>
      </c>
      <c r="O6" s="15">
        <v>7165</v>
      </c>
      <c r="P6" s="14">
        <f t="shared" si="2"/>
        <v>1.22</v>
      </c>
    </row>
    <row r="7" spans="2:17" x14ac:dyDescent="0.3">
      <c r="B7" s="32">
        <v>2019</v>
      </c>
      <c r="C7" s="4" t="s">
        <v>2</v>
      </c>
      <c r="D7" s="8">
        <v>19889</v>
      </c>
      <c r="E7" s="11">
        <v>1.87</v>
      </c>
      <c r="H7" s="14" t="s">
        <v>11</v>
      </c>
      <c r="I7" s="15">
        <v>123832</v>
      </c>
      <c r="J7" s="14">
        <f t="shared" si="0"/>
        <v>12.93</v>
      </c>
      <c r="K7" s="18" t="s">
        <v>11</v>
      </c>
      <c r="L7" s="15">
        <v>139911</v>
      </c>
      <c r="M7" s="16">
        <f t="shared" si="1"/>
        <v>13.14</v>
      </c>
      <c r="N7" s="14" t="s">
        <v>11</v>
      </c>
      <c r="O7" s="15">
        <v>79230</v>
      </c>
      <c r="P7" s="14">
        <f t="shared" si="2"/>
        <v>13.48</v>
      </c>
    </row>
    <row r="8" spans="2:17" x14ac:dyDescent="0.3">
      <c r="B8" s="31"/>
      <c r="C8" s="2" t="s">
        <v>3</v>
      </c>
      <c r="D8" s="6">
        <v>968567</v>
      </c>
      <c r="E8" s="9">
        <v>90.95</v>
      </c>
      <c r="H8" s="14" t="s">
        <v>12</v>
      </c>
      <c r="I8" s="15">
        <v>84969</v>
      </c>
      <c r="J8" s="14">
        <f t="shared" si="0"/>
        <v>8.8699999999999992</v>
      </c>
      <c r="K8" s="18" t="s">
        <v>12</v>
      </c>
      <c r="L8" s="15">
        <v>91580</v>
      </c>
      <c r="M8" s="16">
        <f t="shared" si="1"/>
        <v>8.6</v>
      </c>
      <c r="N8" s="14" t="s">
        <v>12</v>
      </c>
      <c r="O8" s="15">
        <v>51180</v>
      </c>
      <c r="P8" s="14">
        <f t="shared" si="2"/>
        <v>8.7100000000000009</v>
      </c>
    </row>
    <row r="9" spans="2:17" x14ac:dyDescent="0.3">
      <c r="B9" s="31"/>
      <c r="C9" s="2" t="s">
        <v>4</v>
      </c>
      <c r="D9" s="6">
        <v>59617</v>
      </c>
      <c r="E9" s="9">
        <v>5.6</v>
      </c>
      <c r="H9" s="14" t="s">
        <v>13</v>
      </c>
      <c r="I9" s="15">
        <v>52604</v>
      </c>
      <c r="J9" s="14">
        <f t="shared" si="0"/>
        <v>5.49</v>
      </c>
      <c r="K9" s="18" t="s">
        <v>13</v>
      </c>
      <c r="L9" s="15">
        <v>62071</v>
      </c>
      <c r="M9" s="16">
        <f t="shared" si="1"/>
        <v>5.83</v>
      </c>
      <c r="N9" s="14" t="s">
        <v>13</v>
      </c>
      <c r="O9" s="15">
        <v>32994</v>
      </c>
      <c r="P9" s="14">
        <f t="shared" si="2"/>
        <v>5.62</v>
      </c>
    </row>
    <row r="10" spans="2:17" ht="17.25" thickBot="1" x14ac:dyDescent="0.35">
      <c r="B10" s="33"/>
      <c r="C10" s="3" t="s">
        <v>5</v>
      </c>
      <c r="D10" s="7">
        <v>16851</v>
      </c>
      <c r="E10" s="10">
        <v>1.58</v>
      </c>
      <c r="H10" s="14" t="s">
        <v>14</v>
      </c>
      <c r="I10" s="15">
        <v>37442</v>
      </c>
      <c r="J10" s="14">
        <f t="shared" si="0"/>
        <v>3.91</v>
      </c>
      <c r="K10" s="18" t="s">
        <v>14</v>
      </c>
      <c r="L10" s="15">
        <v>41249</v>
      </c>
      <c r="M10" s="16">
        <f t="shared" si="1"/>
        <v>3.87</v>
      </c>
      <c r="N10" s="14" t="s">
        <v>14</v>
      </c>
      <c r="O10" s="15">
        <v>18879</v>
      </c>
      <c r="P10" s="14">
        <f t="shared" si="2"/>
        <v>3.21</v>
      </c>
    </row>
    <row r="11" spans="2:17" x14ac:dyDescent="0.3">
      <c r="B11" s="32">
        <v>2020</v>
      </c>
      <c r="C11" s="4" t="s">
        <v>2</v>
      </c>
      <c r="D11" s="8">
        <v>6515</v>
      </c>
      <c r="E11" s="11">
        <v>1.1100000000000001</v>
      </c>
      <c r="H11" s="14" t="s">
        <v>15</v>
      </c>
      <c r="I11" s="15">
        <v>84848</v>
      </c>
      <c r="J11" s="14">
        <f t="shared" si="0"/>
        <v>8.86</v>
      </c>
      <c r="K11" s="18" t="s">
        <v>15</v>
      </c>
      <c r="L11" s="15">
        <v>85889</v>
      </c>
      <c r="M11" s="16">
        <f t="shared" si="1"/>
        <v>8.07</v>
      </c>
      <c r="N11" s="14" t="s">
        <v>15</v>
      </c>
      <c r="O11" s="15">
        <v>38877</v>
      </c>
      <c r="P11" s="14">
        <f t="shared" si="2"/>
        <v>6.62</v>
      </c>
    </row>
    <row r="12" spans="2:17" x14ac:dyDescent="0.3">
      <c r="B12" s="31"/>
      <c r="C12" s="2" t="s">
        <v>3</v>
      </c>
      <c r="D12" s="6">
        <v>557631</v>
      </c>
      <c r="E12" s="9">
        <v>94.91</v>
      </c>
      <c r="H12" s="14" t="s">
        <v>16</v>
      </c>
      <c r="I12" s="15">
        <v>400660</v>
      </c>
      <c r="J12" s="14">
        <f t="shared" si="0"/>
        <v>41.83</v>
      </c>
      <c r="K12" s="18" t="s">
        <v>16</v>
      </c>
      <c r="L12" s="15">
        <v>457890</v>
      </c>
      <c r="M12" s="16">
        <f t="shared" si="1"/>
        <v>43</v>
      </c>
      <c r="N12" s="14" t="s">
        <v>16</v>
      </c>
      <c r="O12" s="15">
        <v>276702</v>
      </c>
      <c r="P12" s="14">
        <f t="shared" si="2"/>
        <v>47.09</v>
      </c>
    </row>
    <row r="13" spans="2:17" x14ac:dyDescent="0.3">
      <c r="B13" s="31"/>
      <c r="C13" s="2" t="s">
        <v>4</v>
      </c>
      <c r="D13" s="6">
        <v>21514</v>
      </c>
      <c r="E13" s="9">
        <v>3.66</v>
      </c>
      <c r="H13" s="14" t="s">
        <v>17</v>
      </c>
      <c r="I13" s="15">
        <v>81100</v>
      </c>
      <c r="J13" s="14">
        <f t="shared" si="0"/>
        <v>8.4700000000000006</v>
      </c>
      <c r="K13" s="18" t="s">
        <v>17</v>
      </c>
      <c r="L13" s="15">
        <v>88228</v>
      </c>
      <c r="M13" s="16">
        <f t="shared" si="1"/>
        <v>8.2799999999999994</v>
      </c>
      <c r="N13" s="14" t="s">
        <v>17</v>
      </c>
      <c r="O13" s="15">
        <v>40900</v>
      </c>
      <c r="P13" s="14">
        <f t="shared" si="2"/>
        <v>6.96</v>
      </c>
    </row>
    <row r="14" spans="2:17" ht="17.25" thickBot="1" x14ac:dyDescent="0.35">
      <c r="B14" s="33"/>
      <c r="C14" s="3" t="s">
        <v>5</v>
      </c>
      <c r="D14" s="7">
        <v>1886</v>
      </c>
      <c r="E14" s="10">
        <v>0.32</v>
      </c>
      <c r="H14" s="14" t="s">
        <v>20</v>
      </c>
      <c r="I14" s="15">
        <v>7428</v>
      </c>
      <c r="J14" s="14">
        <f t="shared" si="0"/>
        <v>0.78</v>
      </c>
      <c r="K14" s="18" t="s">
        <v>20</v>
      </c>
      <c r="L14" s="15">
        <v>5395</v>
      </c>
      <c r="M14" s="16">
        <f t="shared" si="1"/>
        <v>0.51</v>
      </c>
      <c r="N14" s="14" t="s">
        <v>20</v>
      </c>
      <c r="O14" s="15">
        <v>1504</v>
      </c>
      <c r="P14" s="14">
        <f t="shared" si="2"/>
        <v>0.26</v>
      </c>
    </row>
    <row r="15" spans="2:17" x14ac:dyDescent="0.3">
      <c r="B15" s="32">
        <v>2021</v>
      </c>
      <c r="C15" s="4" t="s">
        <v>2</v>
      </c>
      <c r="D15" s="8">
        <v>6700</v>
      </c>
      <c r="E15" s="11">
        <v>0.57999999999999996</v>
      </c>
      <c r="H15" s="19"/>
      <c r="I15" s="20">
        <f>SUM(I4:I14)</f>
        <v>957789</v>
      </c>
      <c r="J15" s="19"/>
      <c r="K15" s="21"/>
      <c r="L15" s="20">
        <f>SUM(L4:L14)</f>
        <v>1064924</v>
      </c>
      <c r="M15" s="22"/>
      <c r="N15" s="19"/>
      <c r="O15" s="20">
        <f>SUM(O4:O14)</f>
        <v>587546</v>
      </c>
      <c r="P15" s="19"/>
    </row>
    <row r="16" spans="2:17" x14ac:dyDescent="0.3">
      <c r="B16" s="31"/>
      <c r="C16" s="2" t="s">
        <v>3</v>
      </c>
      <c r="D16" s="6">
        <v>1115613</v>
      </c>
      <c r="E16" s="9">
        <v>96.78</v>
      </c>
      <c r="H16" s="34" t="s">
        <v>25</v>
      </c>
      <c r="I16" s="34"/>
      <c r="J16" s="34"/>
      <c r="K16" s="35" t="s">
        <v>26</v>
      </c>
      <c r="L16" s="34"/>
      <c r="M16" s="36"/>
      <c r="N16" s="34" t="s">
        <v>27</v>
      </c>
      <c r="O16" s="34"/>
      <c r="P16" s="34"/>
    </row>
    <row r="17" spans="2:16" x14ac:dyDescent="0.3">
      <c r="B17" s="31"/>
      <c r="C17" s="2" t="s">
        <v>4</v>
      </c>
      <c r="D17" s="6">
        <v>28893</v>
      </c>
      <c r="E17" s="9">
        <v>2.5099999999999998</v>
      </c>
      <c r="H17" s="12" t="s">
        <v>18</v>
      </c>
      <c r="I17" s="12" t="s">
        <v>19</v>
      </c>
      <c r="J17" s="12" t="s">
        <v>21</v>
      </c>
      <c r="K17" s="17" t="s">
        <v>18</v>
      </c>
      <c r="L17" s="12" t="s">
        <v>19</v>
      </c>
      <c r="M17" s="13" t="s">
        <v>21</v>
      </c>
      <c r="N17" s="12" t="s">
        <v>18</v>
      </c>
      <c r="O17" s="12" t="s">
        <v>19</v>
      </c>
      <c r="P17" s="12" t="s">
        <v>21</v>
      </c>
    </row>
    <row r="18" spans="2:16" ht="17.25" thickBot="1" x14ac:dyDescent="0.35">
      <c r="B18" s="33"/>
      <c r="C18" s="3" t="s">
        <v>5</v>
      </c>
      <c r="D18" s="7">
        <v>1548</v>
      </c>
      <c r="E18" s="10">
        <v>0.13</v>
      </c>
      <c r="H18" s="14" t="s">
        <v>8</v>
      </c>
      <c r="I18" s="15">
        <v>34748</v>
      </c>
      <c r="J18" s="14">
        <f t="shared" ref="J18:J28" si="3">ROUND((I18/I$29)*100,2)</f>
        <v>3.01</v>
      </c>
      <c r="K18" s="18" t="s">
        <v>8</v>
      </c>
      <c r="L18" s="15">
        <v>32952</v>
      </c>
      <c r="M18" s="16">
        <f t="shared" ref="M18:M28" si="4">ROUND((L18/L$29)*100,2)</f>
        <v>2.88</v>
      </c>
      <c r="N18" s="14" t="s">
        <v>8</v>
      </c>
      <c r="O18" s="15">
        <v>32293</v>
      </c>
      <c r="P18" s="14">
        <f t="shared" ref="P18:P28" si="5">ROUND((O18/O$29)*100,2)</f>
        <v>2.87</v>
      </c>
    </row>
    <row r="19" spans="2:16" x14ac:dyDescent="0.3">
      <c r="B19" s="32">
        <v>2022</v>
      </c>
      <c r="C19" s="4" t="s">
        <v>2</v>
      </c>
      <c r="D19" s="8">
        <v>4556</v>
      </c>
      <c r="E19" s="11">
        <v>0.4</v>
      </c>
      <c r="H19" s="14" t="s">
        <v>9</v>
      </c>
      <c r="I19" s="15">
        <v>38079</v>
      </c>
      <c r="J19" s="14">
        <f t="shared" si="3"/>
        <v>3.3</v>
      </c>
      <c r="K19" s="18" t="s">
        <v>9</v>
      </c>
      <c r="L19" s="15">
        <v>42388</v>
      </c>
      <c r="M19" s="16">
        <f t="shared" si="4"/>
        <v>3.7</v>
      </c>
      <c r="N19" s="14" t="s">
        <v>9</v>
      </c>
      <c r="O19" s="15">
        <v>46150</v>
      </c>
      <c r="P19" s="14">
        <f t="shared" si="5"/>
        <v>4.0999999999999996</v>
      </c>
    </row>
    <row r="20" spans="2:16" x14ac:dyDescent="0.3">
      <c r="B20" s="31"/>
      <c r="C20" s="2" t="s">
        <v>3</v>
      </c>
      <c r="D20" s="6">
        <v>1122850</v>
      </c>
      <c r="E20" s="9">
        <v>98.01</v>
      </c>
      <c r="H20" s="14" t="s">
        <v>10</v>
      </c>
      <c r="I20" s="15">
        <v>14222</v>
      </c>
      <c r="J20" s="14">
        <f t="shared" si="3"/>
        <v>1.23</v>
      </c>
      <c r="K20" s="18" t="s">
        <v>10</v>
      </c>
      <c r="L20" s="15">
        <v>15484</v>
      </c>
      <c r="M20" s="16">
        <f t="shared" si="4"/>
        <v>1.35</v>
      </c>
      <c r="N20" s="14" t="s">
        <v>10</v>
      </c>
      <c r="O20" s="15">
        <v>16415</v>
      </c>
      <c r="P20" s="14">
        <f t="shared" si="5"/>
        <v>1.46</v>
      </c>
    </row>
    <row r="21" spans="2:16" x14ac:dyDescent="0.3">
      <c r="B21" s="31"/>
      <c r="C21" s="2" t="s">
        <v>4</v>
      </c>
      <c r="D21" s="6">
        <v>17703</v>
      </c>
      <c r="E21" s="9">
        <v>1.55</v>
      </c>
      <c r="H21" s="14" t="s">
        <v>11</v>
      </c>
      <c r="I21" s="15">
        <v>147346</v>
      </c>
      <c r="J21" s="14">
        <f t="shared" si="3"/>
        <v>12.78</v>
      </c>
      <c r="K21" s="18" t="s">
        <v>11</v>
      </c>
      <c r="L21" s="15">
        <v>145633</v>
      </c>
      <c r="M21" s="16">
        <f t="shared" si="4"/>
        <v>12.71</v>
      </c>
      <c r="N21" s="14" t="s">
        <v>11</v>
      </c>
      <c r="O21" s="15">
        <v>140962</v>
      </c>
      <c r="P21" s="14">
        <f t="shared" si="5"/>
        <v>12.52</v>
      </c>
    </row>
    <row r="22" spans="2:16" ht="17.25" thickBot="1" x14ac:dyDescent="0.35">
      <c r="B22" s="33"/>
      <c r="C22" s="3" t="s">
        <v>5</v>
      </c>
      <c r="D22" s="7">
        <v>594</v>
      </c>
      <c r="E22" s="10">
        <v>0.05</v>
      </c>
      <c r="H22" s="14" t="s">
        <v>12</v>
      </c>
      <c r="I22" s="15">
        <v>102988</v>
      </c>
      <c r="J22" s="14">
        <f t="shared" si="3"/>
        <v>8.93</v>
      </c>
      <c r="K22" s="18" t="s">
        <v>12</v>
      </c>
      <c r="L22" s="15">
        <v>95900</v>
      </c>
      <c r="M22" s="16">
        <f t="shared" si="4"/>
        <v>8.3699999999999992</v>
      </c>
      <c r="N22" s="14" t="s">
        <v>12</v>
      </c>
      <c r="O22" s="15">
        <v>92592</v>
      </c>
      <c r="P22" s="14">
        <f t="shared" si="5"/>
        <v>8.2200000000000006</v>
      </c>
    </row>
    <row r="23" spans="2:16" x14ac:dyDescent="0.3">
      <c r="B23" s="32">
        <v>2023</v>
      </c>
      <c r="C23" s="4" t="s">
        <v>2</v>
      </c>
      <c r="D23" s="8">
        <v>2763</v>
      </c>
      <c r="E23" s="11">
        <v>0.25</v>
      </c>
      <c r="H23" s="14" t="s">
        <v>13</v>
      </c>
      <c r="I23" s="15">
        <v>59030</v>
      </c>
      <c r="J23" s="14">
        <f t="shared" si="3"/>
        <v>5.12</v>
      </c>
      <c r="K23" s="18" t="s">
        <v>13</v>
      </c>
      <c r="L23" s="15">
        <v>58545</v>
      </c>
      <c r="M23" s="16">
        <f t="shared" si="4"/>
        <v>5.1100000000000003</v>
      </c>
      <c r="N23" s="14" t="s">
        <v>13</v>
      </c>
      <c r="O23" s="15">
        <v>60085</v>
      </c>
      <c r="P23" s="14">
        <f t="shared" si="5"/>
        <v>5.34</v>
      </c>
    </row>
    <row r="24" spans="2:16" x14ac:dyDescent="0.3">
      <c r="B24" s="31"/>
      <c r="C24" s="2" t="s">
        <v>3</v>
      </c>
      <c r="D24" s="6">
        <v>1120288</v>
      </c>
      <c r="E24" s="9">
        <v>99.48</v>
      </c>
      <c r="H24" s="14" t="s">
        <v>14</v>
      </c>
      <c r="I24" s="15">
        <v>35123</v>
      </c>
      <c r="J24" s="14">
        <f t="shared" si="3"/>
        <v>3.05</v>
      </c>
      <c r="K24" s="18" t="s">
        <v>14</v>
      </c>
      <c r="L24" s="15">
        <v>36213</v>
      </c>
      <c r="M24" s="16">
        <f t="shared" si="4"/>
        <v>3.16</v>
      </c>
      <c r="N24" s="14" t="s">
        <v>14</v>
      </c>
      <c r="O24" s="15">
        <v>36193</v>
      </c>
      <c r="P24" s="14">
        <f t="shared" si="5"/>
        <v>3.21</v>
      </c>
    </row>
    <row r="25" spans="2:16" x14ac:dyDescent="0.3">
      <c r="B25" s="31"/>
      <c r="C25" s="2" t="s">
        <v>4</v>
      </c>
      <c r="D25" s="6">
        <v>2973</v>
      </c>
      <c r="E25" s="9">
        <v>0.26</v>
      </c>
      <c r="H25" s="14" t="s">
        <v>15</v>
      </c>
      <c r="I25" s="15">
        <v>72863</v>
      </c>
      <c r="J25" s="14">
        <f t="shared" si="3"/>
        <v>6.32</v>
      </c>
      <c r="K25" s="18" t="s">
        <v>15</v>
      </c>
      <c r="L25" s="15">
        <v>67833</v>
      </c>
      <c r="M25" s="16">
        <f t="shared" si="4"/>
        <v>5.92</v>
      </c>
      <c r="N25" s="14" t="s">
        <v>15</v>
      </c>
      <c r="O25" s="15">
        <v>65330</v>
      </c>
      <c r="P25" s="14">
        <f t="shared" si="5"/>
        <v>5.8</v>
      </c>
    </row>
    <row r="26" spans="2:16" ht="17.25" thickBot="1" x14ac:dyDescent="0.35">
      <c r="B26" s="33"/>
      <c r="C26" s="3" t="s">
        <v>5</v>
      </c>
      <c r="D26" s="7">
        <v>94</v>
      </c>
      <c r="E26" s="10">
        <v>0.01</v>
      </c>
      <c r="H26" s="14" t="s">
        <v>16</v>
      </c>
      <c r="I26" s="15">
        <v>571002</v>
      </c>
      <c r="J26" s="14">
        <f t="shared" si="3"/>
        <v>49.53</v>
      </c>
      <c r="K26" s="18" t="s">
        <v>16</v>
      </c>
      <c r="L26" s="15">
        <v>575432</v>
      </c>
      <c r="M26" s="16">
        <f t="shared" si="4"/>
        <v>50.23</v>
      </c>
      <c r="N26" s="14" t="s">
        <v>16</v>
      </c>
      <c r="O26" s="15">
        <v>560119</v>
      </c>
      <c r="P26" s="14">
        <f t="shared" si="5"/>
        <v>49.74</v>
      </c>
    </row>
    <row r="27" spans="2:16" x14ac:dyDescent="0.3">
      <c r="H27" s="14" t="s">
        <v>17</v>
      </c>
      <c r="I27" s="15">
        <v>74867</v>
      </c>
      <c r="J27" s="14">
        <f t="shared" si="3"/>
        <v>6.49</v>
      </c>
      <c r="K27" s="18" t="s">
        <v>17</v>
      </c>
      <c r="L27" s="15">
        <v>72535</v>
      </c>
      <c r="M27" s="16">
        <f t="shared" si="4"/>
        <v>6.33</v>
      </c>
      <c r="N27" s="14" t="s">
        <v>17</v>
      </c>
      <c r="O27" s="15">
        <v>74719</v>
      </c>
      <c r="P27" s="14">
        <f t="shared" si="5"/>
        <v>6.64</v>
      </c>
    </row>
    <row r="28" spans="2:16" x14ac:dyDescent="0.3">
      <c r="H28" s="14" t="s">
        <v>20</v>
      </c>
      <c r="I28" s="15">
        <v>2486</v>
      </c>
      <c r="J28" s="14">
        <f t="shared" si="3"/>
        <v>0.22</v>
      </c>
      <c r="K28" s="18" t="s">
        <v>20</v>
      </c>
      <c r="L28" s="15">
        <v>2788</v>
      </c>
      <c r="M28" s="16">
        <f t="shared" si="4"/>
        <v>0.24</v>
      </c>
      <c r="N28" s="14" t="s">
        <v>20</v>
      </c>
      <c r="O28" s="15">
        <v>1260</v>
      </c>
      <c r="P28" s="14">
        <f t="shared" si="5"/>
        <v>0.11</v>
      </c>
    </row>
    <row r="29" spans="2:16" x14ac:dyDescent="0.3">
      <c r="H29" s="19"/>
      <c r="I29" s="20">
        <f>SUM(I18:I28)</f>
        <v>1152754</v>
      </c>
      <c r="J29" s="19"/>
      <c r="K29" s="21"/>
      <c r="L29" s="20">
        <f>SUM(L18:L28)</f>
        <v>1145703</v>
      </c>
      <c r="M29" s="22"/>
      <c r="N29" s="19"/>
      <c r="O29" s="20">
        <f>SUM(O18:O28)</f>
        <v>1126118</v>
      </c>
      <c r="P29" s="19"/>
    </row>
  </sheetData>
  <mergeCells count="12">
    <mergeCell ref="K16:M16"/>
    <mergeCell ref="N16:P16"/>
    <mergeCell ref="B23:B26"/>
    <mergeCell ref="H2:J2"/>
    <mergeCell ref="K2:M2"/>
    <mergeCell ref="N2:P2"/>
    <mergeCell ref="H16:J16"/>
    <mergeCell ref="B3:B6"/>
    <mergeCell ref="B7:B10"/>
    <mergeCell ref="B11:B14"/>
    <mergeCell ref="B15:B18"/>
    <mergeCell ref="B19:B2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자치구별</vt:lpstr>
      <vt:lpstr>전체</vt:lpstr>
      <vt:lpstr>마포구</vt:lpstr>
      <vt:lpstr>서대문구</vt:lpstr>
      <vt:lpstr>은평구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2025-03-21T02:11:34Z</dcterms:modified>
</cp:coreProperties>
</file>